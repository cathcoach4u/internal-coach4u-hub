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4053847-my.sharepoint.com/personal/cath_coach4u_com_au/Documents/Coach4U - Coach4U Downloads/"/>
    </mc:Choice>
  </mc:AlternateContent>
  <xr:revisionPtr revIDLastSave="0" documentId="8_{7AE8CD0D-0040-4D43-A145-27AE1B58EF11}" xr6:coauthVersionLast="47" xr6:coauthVersionMax="47" xr10:uidLastSave="{00000000-0000-0000-0000-000000000000}"/>
  <bookViews>
    <workbookView xWindow="-108" yWindow="-108" windowWidth="23256" windowHeight="13896" xr2:uid="{B9BFE561-CA53-4714-81A7-CF581280C67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5" i="1" l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M1" i="1"/>
</calcChain>
</file>

<file path=xl/sharedStrings.xml><?xml version="1.0" encoding="utf-8"?>
<sst xmlns="http://schemas.openxmlformats.org/spreadsheetml/2006/main" count="3452" uniqueCount="744">
  <si>
    <r>
      <t>Import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a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file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from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Gallup</t>
    </r>
    <r>
      <rPr>
        <sz val="9"/>
        <color theme="0"/>
        <rFont val="Arial"/>
        <family val="2"/>
      </rPr>
      <t>.Access.</t>
    </r>
  </si>
  <si>
    <r>
      <t>Or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select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the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themes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from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the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drop-down</t>
    </r>
    <r>
      <rPr>
        <sz val="9"/>
        <color theme="0"/>
        <rFont val="Arial"/>
        <family val="2"/>
      </rPr>
      <t>.</t>
    </r>
    <r>
      <rPr>
        <sz val="9"/>
        <color rgb="FFC00000"/>
        <rFont val="Arial"/>
        <family val="2"/>
      </rPr>
      <t>lists.</t>
    </r>
  </si>
  <si>
    <t>Theme</t>
  </si>
  <si>
    <t>Name</t>
  </si>
  <si>
    <t>Count</t>
  </si>
  <si>
    <t>Firstname</t>
  </si>
  <si>
    <t>Surname</t>
  </si>
  <si>
    <t>Email</t>
  </si>
  <si>
    <t>Date</t>
  </si>
  <si>
    <t>Abraham</t>
  </si>
  <si>
    <t>Cohen</t>
  </si>
  <si>
    <t>ac@abrahamcohen.com.au</t>
  </si>
  <si>
    <t>Achiever</t>
  </si>
  <si>
    <t>Deliberative</t>
  </si>
  <si>
    <t>Learner</t>
  </si>
  <si>
    <t>Responsibility</t>
  </si>
  <si>
    <t>Communication</t>
  </si>
  <si>
    <t>Consistency</t>
  </si>
  <si>
    <t>Relator</t>
  </si>
  <si>
    <t>Self-Assurance</t>
  </si>
  <si>
    <t>Includer</t>
  </si>
  <si>
    <t>Focus</t>
  </si>
  <si>
    <t>Adam</t>
  </si>
  <si>
    <t>Fritsche</t>
  </si>
  <si>
    <t>adam@hotlineit.com</t>
  </si>
  <si>
    <t>Analytical</t>
  </si>
  <si>
    <t>Significance</t>
  </si>
  <si>
    <t>Maximizer</t>
  </si>
  <si>
    <t>Individualization</t>
  </si>
  <si>
    <t>Strategic</t>
  </si>
  <si>
    <t>Intellection</t>
  </si>
  <si>
    <t>Aimee</t>
  </si>
  <si>
    <t>Brice</t>
  </si>
  <si>
    <t>aimeeb7@gmail.com</t>
  </si>
  <si>
    <t>Positivity</t>
  </si>
  <si>
    <t>Woo</t>
  </si>
  <si>
    <t>Ideation</t>
  </si>
  <si>
    <t>Developer</t>
  </si>
  <si>
    <t>Alex</t>
  </si>
  <si>
    <t>Kralevski</t>
  </si>
  <si>
    <t>Belief</t>
  </si>
  <si>
    <t>Discipline</t>
  </si>
  <si>
    <t>Futuristic</t>
  </si>
  <si>
    <t>Alexandra</t>
  </si>
  <si>
    <t>Petkova</t>
  </si>
  <si>
    <t>alex.petkova@knowmore.org.au</t>
  </si>
  <si>
    <t>Restorative</t>
  </si>
  <si>
    <t>Empathy</t>
  </si>
  <si>
    <t>Connectedness</t>
  </si>
  <si>
    <t>Input</t>
  </si>
  <si>
    <t>Command</t>
  </si>
  <si>
    <t>Alexia</t>
  </si>
  <si>
    <t>Zsigmond</t>
  </si>
  <si>
    <t>alexia_zsigmond@outlook.com</t>
  </si>
  <si>
    <t>Adaptability</t>
  </si>
  <si>
    <t>Ali</t>
  </si>
  <si>
    <t>Facer</t>
  </si>
  <si>
    <t>alifacer1@gmail.com</t>
  </si>
  <si>
    <t>Activator</t>
  </si>
  <si>
    <t>Alison</t>
  </si>
  <si>
    <t>Joosse</t>
  </si>
  <si>
    <t>Alison@joosse.me</t>
  </si>
  <si>
    <t>07-28-2025</t>
  </si>
  <si>
    <t>Harmony</t>
  </si>
  <si>
    <t>Alistair</t>
  </si>
  <si>
    <t>Cascade</t>
  </si>
  <si>
    <t>Arranger</t>
  </si>
  <si>
    <t>Alyza Camille</t>
  </si>
  <si>
    <t>Villanueva</t>
  </si>
  <si>
    <t>admin@insuranceadvisoryservice.com.au</t>
  </si>
  <si>
    <t>Amanda</t>
  </si>
  <si>
    <t>Carter</t>
  </si>
  <si>
    <t>amanda@kennedyreid.com.au</t>
  </si>
  <si>
    <t>Competition</t>
  </si>
  <si>
    <t>Millhouse</t>
  </si>
  <si>
    <t>amanda.millhouse@outlook.com</t>
  </si>
  <si>
    <t>11-17-2025</t>
  </si>
  <si>
    <t>Whelan</t>
  </si>
  <si>
    <t>amanda.whelan@knowmore.org.au</t>
  </si>
  <si>
    <t>Amarah</t>
  </si>
  <si>
    <t>Iqbal</t>
  </si>
  <si>
    <t>amarahiqbal48@gmail.com</t>
  </si>
  <si>
    <t>Amber</t>
  </si>
  <si>
    <t>Goerke</t>
  </si>
  <si>
    <t>amber.goerke@knowmore.org.au</t>
  </si>
  <si>
    <t>9/27/2023</t>
  </si>
  <si>
    <t>Amy</t>
  </si>
  <si>
    <t>Barrett</t>
  </si>
  <si>
    <t>amy.barrett@knowmore.org.au</t>
  </si>
  <si>
    <t>Griffiths</t>
  </si>
  <si>
    <t>amy.griffiths@knowmore.org.au</t>
  </si>
  <si>
    <t>3/27/2023</t>
  </si>
  <si>
    <t>Andrea</t>
  </si>
  <si>
    <t>Doney</t>
  </si>
  <si>
    <t>famdoney@gmail.com</t>
  </si>
  <si>
    <t>Context</t>
  </si>
  <si>
    <t>Pearson</t>
  </si>
  <si>
    <t>Andrea.Pearson@knowmore.org.au</t>
  </si>
  <si>
    <t>10/9/2023</t>
  </si>
  <si>
    <t>Sharpe</t>
  </si>
  <si>
    <t>andrea.sharpe@century21.com.au</t>
  </si>
  <si>
    <t>Andrew</t>
  </si>
  <si>
    <t>Baker</t>
  </si>
  <si>
    <t>Ann</t>
  </si>
  <si>
    <t>McLeod</t>
  </si>
  <si>
    <t>Annette</t>
  </si>
  <si>
    <t>Elsworth</t>
  </si>
  <si>
    <t>annetteelsworth@gmail.com</t>
  </si>
  <si>
    <t>Anthony</t>
  </si>
  <si>
    <t>Scott</t>
  </si>
  <si>
    <t>anthony@watkinstaylorstone.com.au</t>
  </si>
  <si>
    <t>Wood</t>
  </si>
  <si>
    <t>anthony@pinnacletraction.com.au</t>
  </si>
  <si>
    <t>Antoinette</t>
  </si>
  <si>
    <t>Andreucetti</t>
  </si>
  <si>
    <t>antoinette.andreucetti@gmail.com</t>
  </si>
  <si>
    <t>Mullins</t>
  </si>
  <si>
    <t>amullins@beyondtodayfp.com.au</t>
  </si>
  <si>
    <t>Barsh</t>
  </si>
  <si>
    <t>Szokolay</t>
  </si>
  <si>
    <t>barshs@maxi.net.au</t>
  </si>
  <si>
    <t>Basil</t>
  </si>
  <si>
    <t>Smith</t>
  </si>
  <si>
    <t>basil.smith@knowmore.org.au</t>
  </si>
  <si>
    <t>5/24/2023</t>
  </si>
  <si>
    <t>Ben</t>
  </si>
  <si>
    <t>Ahearn</t>
  </si>
  <si>
    <t>Brady</t>
  </si>
  <si>
    <t>brady@joosse.me</t>
  </si>
  <si>
    <t>Brenden</t>
  </si>
  <si>
    <t>Fing</t>
  </si>
  <si>
    <t>brenden@kennedyreid.com.au</t>
  </si>
  <si>
    <t>Brian</t>
  </si>
  <si>
    <t>Toigo</t>
  </si>
  <si>
    <t>brian.toigo@knowmore.org.au</t>
  </si>
  <si>
    <t>5/30/2023</t>
  </si>
  <si>
    <t>Bridget</t>
  </si>
  <si>
    <t>Connor</t>
  </si>
  <si>
    <t>Bridget.connor@knowmore.org.au</t>
  </si>
  <si>
    <t>9/20/2023</t>
  </si>
  <si>
    <t>Brie</t>
  </si>
  <si>
    <t>Ward</t>
  </si>
  <si>
    <t>Brie.Ward@knowmore.org.au</t>
  </si>
  <si>
    <t>11/14/2023</t>
  </si>
  <si>
    <t>Briohny</t>
  </si>
  <si>
    <t>Luhrmann</t>
  </si>
  <si>
    <t>BriLuhrmann@gmail.com</t>
  </si>
  <si>
    <t>Bron</t>
  </si>
  <si>
    <t>O'Loan</t>
  </si>
  <si>
    <t>bron@oloanfamilylaw.com.au</t>
  </si>
  <si>
    <t>Caitlin</t>
  </si>
  <si>
    <t>Galbraith</t>
  </si>
  <si>
    <t>cgalbraith@rookpartners.com</t>
  </si>
  <si>
    <t>Cara</t>
  </si>
  <si>
    <t>Spencer</t>
  </si>
  <si>
    <t>cara.ann.spencer@gmail.com</t>
  </si>
  <si>
    <t>Carmen</t>
  </si>
  <si>
    <t>Tran</t>
  </si>
  <si>
    <t xml:space="preserve">carmen.tran925@gmail.com
</t>
  </si>
  <si>
    <t>Caroline</t>
  </si>
  <si>
    <t>Beggs</t>
  </si>
  <si>
    <t>carolinebeggs@gmail.com</t>
  </si>
  <si>
    <t>Caspian</t>
  </si>
  <si>
    <t>Cath</t>
  </si>
  <si>
    <t>cath@coachingwithcath.com.au</t>
  </si>
  <si>
    <t>Charlie</t>
  </si>
  <si>
    <t>Sedanayasa</t>
  </si>
  <si>
    <t>Cheree</t>
  </si>
  <si>
    <t>Banister</t>
  </si>
  <si>
    <t>cheree.banister@gmail.com</t>
  </si>
  <si>
    <t>Chris</t>
  </si>
  <si>
    <t>Nutbean</t>
  </si>
  <si>
    <t>cwnconstructions@outlook.com</t>
  </si>
  <si>
    <t>05-27-2025</t>
  </si>
  <si>
    <t>Claire</t>
  </si>
  <si>
    <t>Nielsen</t>
  </si>
  <si>
    <t>claire@manlylaw.com.au</t>
  </si>
  <si>
    <t>Craig</t>
  </si>
  <si>
    <t>O’Shannessy</t>
  </si>
  <si>
    <t>craig@watkinstaylorstone.com.au</t>
  </si>
  <si>
    <t>Saphin</t>
  </si>
  <si>
    <t>craig@kennedyreid.com.au</t>
  </si>
  <si>
    <t>Crionna</t>
  </si>
  <si>
    <t>Doyle</t>
  </si>
  <si>
    <t>crionna@kennedyreid.com.au</t>
  </si>
  <si>
    <t>Dan</t>
  </si>
  <si>
    <t>Berry</t>
  </si>
  <si>
    <t>Murphy</t>
  </si>
  <si>
    <t>Danelle</t>
  </si>
  <si>
    <t>Lever</t>
  </si>
  <si>
    <t>danelle.lever@knowmore.org.au</t>
  </si>
  <si>
    <t>Daniella</t>
  </si>
  <si>
    <t>Sallit</t>
  </si>
  <si>
    <t>daniellasallit@live.com.au</t>
  </si>
  <si>
    <t>David</t>
  </si>
  <si>
    <t>Jaffe</t>
  </si>
  <si>
    <t>david@jaffelee.com.au</t>
  </si>
  <si>
    <t>McNaughton</t>
  </si>
  <si>
    <t>david@dmchealth.com.au</t>
  </si>
  <si>
    <t>Russell</t>
  </si>
  <si>
    <t>David.Russell@knowmore.org.au</t>
  </si>
  <si>
    <t>Debbie</t>
  </si>
  <si>
    <t>Elkind</t>
  </si>
  <si>
    <t>debbie.elkind@me.com</t>
  </si>
  <si>
    <t>Diana</t>
  </si>
  <si>
    <t>Venardos</t>
  </si>
  <si>
    <t>diana@kennedyreid.com.au</t>
  </si>
  <si>
    <t>Dimple Jean</t>
  </si>
  <si>
    <t>Torralba</t>
  </si>
  <si>
    <t>Doug</t>
  </si>
  <si>
    <t>Brassett</t>
  </si>
  <si>
    <t>dbrassett@insuranceadvisoryservice.com.au</t>
  </si>
  <si>
    <t>Elizabeth</t>
  </si>
  <si>
    <t>Nagy</t>
  </si>
  <si>
    <t>elizabeth.nagy@knowmore.org.au</t>
  </si>
  <si>
    <t>Stanton</t>
  </si>
  <si>
    <t>liz@watkinstaylorstone.com.au</t>
  </si>
  <si>
    <t>Emma</t>
  </si>
  <si>
    <t>Koch</t>
  </si>
  <si>
    <t>emmamkoch@gmail.com</t>
  </si>
  <si>
    <t>Fhevy</t>
  </si>
  <si>
    <t>Quijano</t>
  </si>
  <si>
    <t>general@insuranceadvisoryservice.com.au</t>
  </si>
  <si>
    <t>Filimon</t>
  </si>
  <si>
    <t>Filippou</t>
  </si>
  <si>
    <t>filimon@ffrgroup.com.au</t>
  </si>
  <si>
    <t>Fiona</t>
  </si>
  <si>
    <t>Rigney</t>
  </si>
  <si>
    <t>Fiona.Rigney@knowmore.org.au</t>
  </si>
  <si>
    <t>3/30/2023</t>
  </si>
  <si>
    <t>Gary</t>
  </si>
  <si>
    <t>Oliver</t>
  </si>
  <si>
    <t>gary.oliver@knowmore.org.au</t>
  </si>
  <si>
    <t>4/14/2023</t>
  </si>
  <si>
    <t>Georgina</t>
  </si>
  <si>
    <t>Kilfoil</t>
  </si>
  <si>
    <t>georgina.kilfoil@gmail.com</t>
  </si>
  <si>
    <t>Glendra</t>
  </si>
  <si>
    <t>Stubbs</t>
  </si>
  <si>
    <t>Glendra.Stubbs@knowmore.org.au</t>
  </si>
  <si>
    <t>5/31/2023</t>
  </si>
  <si>
    <t>Grace</t>
  </si>
  <si>
    <t>Dong</t>
  </si>
  <si>
    <t>graced@kennedyreid.com.au</t>
  </si>
  <si>
    <t>Gilmore</t>
  </si>
  <si>
    <t>grace@kennedyreid.com.au</t>
  </si>
  <si>
    <t>Hannah</t>
  </si>
  <si>
    <t>Blommestein</t>
  </si>
  <si>
    <t>hannah.blommestein@knowmore.org.au</t>
  </si>
  <si>
    <t>10/5/2023</t>
  </si>
  <si>
    <t>Stevenson</t>
  </si>
  <si>
    <t>hannahs@kennedyreid.com.au</t>
  </si>
  <si>
    <t>Harriet</t>
  </si>
  <si>
    <t>Templeton-Knight</t>
  </si>
  <si>
    <t>harriet.Templeton-Knight@knowmore.org.au</t>
  </si>
  <si>
    <t>Hazel</t>
  </si>
  <si>
    <t>Dusk</t>
  </si>
  <si>
    <t>Hazel.dusk@outlook.com</t>
  </si>
  <si>
    <t>Heidi</t>
  </si>
  <si>
    <t>Seal</t>
  </si>
  <si>
    <t>heidi@businesssense.co.nz</t>
  </si>
  <si>
    <t>Ian</t>
  </si>
  <si>
    <t>Isaac</t>
  </si>
  <si>
    <t>Searant</t>
  </si>
  <si>
    <t>isaac@dmchealth.com.au</t>
  </si>
  <si>
    <t>Isabel</t>
  </si>
  <si>
    <t>Amundsen</t>
  </si>
  <si>
    <t>Jacinta</t>
  </si>
  <si>
    <t>Skjellerup-Wakefield</t>
  </si>
  <si>
    <t>Jacinta.Skjellerup-Wakefield@knowmore.org.au</t>
  </si>
  <si>
    <t>10/31/2023</t>
  </si>
  <si>
    <t>Jack</t>
  </si>
  <si>
    <t>Cowled</t>
  </si>
  <si>
    <t>jack@biogolf.com.au</t>
  </si>
  <si>
    <t>Jacqueline</t>
  </si>
  <si>
    <t>Havelka</t>
  </si>
  <si>
    <t>havelkafour@yahoo.com.au</t>
  </si>
  <si>
    <t>Jacqui</t>
  </si>
  <si>
    <t>Bundy</t>
  </si>
  <si>
    <t>jacqui@creativebundy.com.au</t>
  </si>
  <si>
    <t>Jacquie</t>
  </si>
  <si>
    <t>McGee</t>
  </si>
  <si>
    <t>jacquie.mcgee@knowmore.org.au</t>
  </si>
  <si>
    <t>Jade</t>
  </si>
  <si>
    <t>Johnson</t>
  </si>
  <si>
    <t>jade.johnson@knowmore.org.au</t>
  </si>
  <si>
    <t>4/24/2023</t>
  </si>
  <si>
    <t>Jan</t>
  </si>
  <si>
    <t>Wolffram</t>
  </si>
  <si>
    <t>jan.wolffram@bigpond.com</t>
  </si>
  <si>
    <t>Jane</t>
  </si>
  <si>
    <t>Chambers</t>
  </si>
  <si>
    <t>jane@bluebirdchildcare.com.au</t>
  </si>
  <si>
    <t>Jaworski</t>
  </si>
  <si>
    <t>jane.a.jaworski@gmail.com</t>
  </si>
  <si>
    <t>Phillips</t>
  </si>
  <si>
    <t>drjanephillips@icloud.com</t>
  </si>
  <si>
    <t>Jasmine</t>
  </si>
  <si>
    <t>Harris</t>
  </si>
  <si>
    <t>Jasmine.Harris@knowmore.org.au</t>
  </si>
  <si>
    <t>Jason</t>
  </si>
  <si>
    <t>LeGuier</t>
  </si>
  <si>
    <t>jason@hotlineit.com</t>
  </si>
  <si>
    <t>Warrior</t>
  </si>
  <si>
    <t>Jason.Warrior@knowmore.org.au</t>
  </si>
  <si>
    <t>6/6/2023</t>
  </si>
  <si>
    <t>Jayne</t>
  </si>
  <si>
    <t>jaynerscott@gmail.com</t>
  </si>
  <si>
    <t>Jeannine</t>
  </si>
  <si>
    <t>Burt</t>
  </si>
  <si>
    <t>Jean-Paul</t>
  </si>
  <si>
    <t>Seear</t>
  </si>
  <si>
    <t>jpseear@gmail.com</t>
  </si>
  <si>
    <t>Jeffrey</t>
  </si>
  <si>
    <t>Pepito</t>
  </si>
  <si>
    <t>lifeadmin@insuranceadvisoryservice.com.au</t>
  </si>
  <si>
    <t>Jen</t>
  </si>
  <si>
    <t>Harwood</t>
  </si>
  <si>
    <t>jen@jenharwood.com</t>
  </si>
  <si>
    <t>Jenna</t>
  </si>
  <si>
    <t>Conway-Jones</t>
  </si>
  <si>
    <t>Jenna.Conway-Jones@knowmore.org.au</t>
  </si>
  <si>
    <t>Jennifer</t>
  </si>
  <si>
    <t>Bicknell</t>
  </si>
  <si>
    <t>jen@jenniferbicknell.com.au</t>
  </si>
  <si>
    <t>Larisma</t>
  </si>
  <si>
    <t>jlarisma47@gmail.com</t>
  </si>
  <si>
    <t>05-21-2025</t>
  </si>
  <si>
    <t>Jenny</t>
  </si>
  <si>
    <t>Mays</t>
  </si>
  <si>
    <t>jmays@bigpond.net.au</t>
  </si>
  <si>
    <t>Jessica</t>
  </si>
  <si>
    <t>Lloyd</t>
  </si>
  <si>
    <t>jessica_lloyd@hotmail.com</t>
  </si>
  <si>
    <t>Jessie</t>
  </si>
  <si>
    <t>Goh</t>
  </si>
  <si>
    <t>jessie@summerlane.com.au</t>
  </si>
  <si>
    <t>Jo</t>
  </si>
  <si>
    <t>jbrassett@insuranceadvisoryservice.com.au</t>
  </si>
  <si>
    <t>Grainger</t>
  </si>
  <si>
    <t>Jodi</t>
  </si>
  <si>
    <t>Fisher</t>
  </si>
  <si>
    <t>Jodi.fisher@knowmore.org.au</t>
  </si>
  <si>
    <t>7/20/2023</t>
  </si>
  <si>
    <t>John</t>
  </si>
  <si>
    <t xml:space="preserve">John Herdman </t>
  </si>
  <si>
    <t xml:space="preserve">Herdman </t>
  </si>
  <si>
    <t>jfherdman@gmail.com</t>
  </si>
  <si>
    <t>Josef</t>
  </si>
  <si>
    <t>Koscinski</t>
  </si>
  <si>
    <t>josefkoscinski@gmail.com</t>
  </si>
  <si>
    <t>Josephine</t>
  </si>
  <si>
    <t>Chan</t>
  </si>
  <si>
    <t>jchan008@yahoo.com.au</t>
  </si>
  <si>
    <t>Juliana</t>
  </si>
  <si>
    <t>Rezende</t>
  </si>
  <si>
    <t>Julianne</t>
  </si>
  <si>
    <t>Ruizol</t>
  </si>
  <si>
    <t>Julie</t>
  </si>
  <si>
    <t>Haerland</t>
  </si>
  <si>
    <t>jhaerland@hotmail.com</t>
  </si>
  <si>
    <t>Julien</t>
  </si>
  <si>
    <t>Di Stefano</t>
  </si>
  <si>
    <t>Justine</t>
  </si>
  <si>
    <t>Williams</t>
  </si>
  <si>
    <t>justine@thefeelgoodstudio.com.au</t>
  </si>
  <si>
    <t>Juwariah</t>
  </si>
  <si>
    <t>juwariahiqbal@gmail.com</t>
  </si>
  <si>
    <t>Kahlia</t>
  </si>
  <si>
    <t>Power</t>
  </si>
  <si>
    <t>Kahlia.Power-Smith@knowmore.org.au</t>
  </si>
  <si>
    <t>5/25/2023</t>
  </si>
  <si>
    <t>Kate</t>
  </si>
  <si>
    <t>kate.cowled@gmail.com</t>
  </si>
  <si>
    <t>Kerr</t>
  </si>
  <si>
    <t>kate.kerr@minibeastsenterprises.com.au</t>
  </si>
  <si>
    <t>Roberts</t>
  </si>
  <si>
    <t xml:space="preserve">Kelly
</t>
  </si>
  <si>
    <t>Danvers</t>
  </si>
  <si>
    <t xml:space="preserve">kellydanvers@hotmail.com
</t>
  </si>
  <si>
    <t>Kerry</t>
  </si>
  <si>
    <t>Ashton</t>
  </si>
  <si>
    <t>kerrsimo@tpg.com.au</t>
  </si>
  <si>
    <t>Dover</t>
  </si>
  <si>
    <t>kerry@themomentumarchitects.com</t>
  </si>
  <si>
    <t>Kerryn</t>
  </si>
  <si>
    <t>Odell</t>
  </si>
  <si>
    <t>Kevin</t>
  </si>
  <si>
    <t>Hannan</t>
  </si>
  <si>
    <t>hannankevin@yahoo.com.au</t>
  </si>
  <si>
    <t>Kim</t>
  </si>
  <si>
    <t>MacDonald</t>
  </si>
  <si>
    <t>kim@spindriftmarketing.com.au</t>
  </si>
  <si>
    <t>Kirsten</t>
  </si>
  <si>
    <t>Lee</t>
  </si>
  <si>
    <t>Klara</t>
  </si>
  <si>
    <t>Payne</t>
  </si>
  <si>
    <t>Klara.Payne@outlook.com</t>
  </si>
  <si>
    <t>Ladan</t>
  </si>
  <si>
    <t>Odmidvar</t>
  </si>
  <si>
    <t>Lara</t>
  </si>
  <si>
    <t>Shaw</t>
  </si>
  <si>
    <t>Laura</t>
  </si>
  <si>
    <t>May</t>
  </si>
  <si>
    <t>laura@kennedyreid.com.au</t>
  </si>
  <si>
    <t>Lauren</t>
  </si>
  <si>
    <t>Hancock</t>
  </si>
  <si>
    <t>laurenmhancock@gmail.com</t>
  </si>
  <si>
    <t>Laurent</t>
  </si>
  <si>
    <t>Mas</t>
  </si>
  <si>
    <t>laurent@successfulbusinessadvisors.com</t>
  </si>
  <si>
    <t>Leah</t>
  </si>
  <si>
    <t>Miranda</t>
  </si>
  <si>
    <t>lmiranda@iasonline.com.au</t>
  </si>
  <si>
    <t>Leena</t>
  </si>
  <si>
    <t>Bergagnin</t>
  </si>
  <si>
    <t>leena@kennedyreid.com.au</t>
  </si>
  <si>
    <t>Leigh</t>
  </si>
  <si>
    <t>Parfitt</t>
  </si>
  <si>
    <t>leighparfitt81@gmail.com</t>
  </si>
  <si>
    <t>Lily</t>
  </si>
  <si>
    <t>Newbold</t>
  </si>
  <si>
    <t>Lily.Newbold@knowmore.org.au</t>
  </si>
  <si>
    <t>Lisa</t>
  </si>
  <si>
    <t>Dos Santos</t>
  </si>
  <si>
    <t>lisads2611@gmail.com</t>
  </si>
  <si>
    <t>2/25/2017</t>
  </si>
  <si>
    <t>Rigo</t>
  </si>
  <si>
    <t>lisarigo2@gmail.com</t>
  </si>
  <si>
    <t>Louise</t>
  </si>
  <si>
    <t>Edgerton</t>
  </si>
  <si>
    <t>Louise.Edgerton@knowmore.org.au</t>
  </si>
  <si>
    <t>Mulqueen</t>
  </si>
  <si>
    <t>louise@great8enterprises.com.au</t>
  </si>
  <si>
    <t>louise</t>
  </si>
  <si>
    <t>Vanderfield</t>
  </si>
  <si>
    <t>louvanderfield@bigpond.com</t>
  </si>
  <si>
    <t>Luke</t>
  </si>
  <si>
    <t>Nisbett</t>
  </si>
  <si>
    <t xml:space="preserve">Ma. Lou Erika </t>
  </si>
  <si>
    <t xml:space="preserve">Balite </t>
  </si>
  <si>
    <t>mlewoods25@gmail.com</t>
  </si>
  <si>
    <t>Malcolm 2</t>
  </si>
  <si>
    <t>malcolm@tectel.com.au</t>
  </si>
  <si>
    <t>Malcolm</t>
  </si>
  <si>
    <t>malcolm@hotlineit.com</t>
  </si>
  <si>
    <t>Mamta</t>
  </si>
  <si>
    <t>Agarwal</t>
  </si>
  <si>
    <t>mamtaagarwal643@gmail.com</t>
  </si>
  <si>
    <t>Marcelo</t>
  </si>
  <si>
    <t>Marcus</t>
  </si>
  <si>
    <t>Vozzo</t>
  </si>
  <si>
    <t>Mardi</t>
  </si>
  <si>
    <t>Grivas</t>
  </si>
  <si>
    <t>Mardi.Grivas@knowmore.org.au</t>
  </si>
  <si>
    <t>10/11/2023</t>
  </si>
  <si>
    <t>Margaret</t>
  </si>
  <si>
    <t>Coyne</t>
  </si>
  <si>
    <t>Margaret.Coyne@knowmore.org.au</t>
  </si>
  <si>
    <t>Marie</t>
  </si>
  <si>
    <t>Arthur</t>
  </si>
  <si>
    <t>marieannarthur@gmail.com</t>
  </si>
  <si>
    <t>Marivic</t>
  </si>
  <si>
    <t>Borromeo</t>
  </si>
  <si>
    <t>marivic@hotlineit.com</t>
  </si>
  <si>
    <t>Perdido</t>
  </si>
  <si>
    <t>simplyvicvic@gmail.com</t>
  </si>
  <si>
    <t>Mark</t>
  </si>
  <si>
    <t>Apthorpe</t>
  </si>
  <si>
    <t>mark@hotlineit.com</t>
  </si>
  <si>
    <t>channy1979.mc@gmail.com</t>
  </si>
  <si>
    <t>Fletcher</t>
  </si>
  <si>
    <t>mfletcher@hotlineit.com</t>
  </si>
  <si>
    <t>Stockdale</t>
  </si>
  <si>
    <t xml:space="preserve">stockdale_mark@hotmail.com
</t>
  </si>
  <si>
    <t>Mary</t>
  </si>
  <si>
    <t>Nguyen</t>
  </si>
  <si>
    <t>mary.nguyen@knowmore.org.au</t>
  </si>
  <si>
    <t>Matthew</t>
  </si>
  <si>
    <t>Davis</t>
  </si>
  <si>
    <t>matteed@hotmail.com</t>
  </si>
  <si>
    <t>Maureen</t>
  </si>
  <si>
    <t>Madden</t>
  </si>
  <si>
    <t>mauiconfidential@gmail.com</t>
  </si>
  <si>
    <t>Max</t>
  </si>
  <si>
    <t>max4scott@gmail.com</t>
  </si>
  <si>
    <t>Melanie</t>
  </si>
  <si>
    <t>Yarnall</t>
  </si>
  <si>
    <t>melanie.yarnall@knowmore.org.au</t>
  </si>
  <si>
    <t>9/19/2023</t>
  </si>
  <si>
    <t>Melissa</t>
  </si>
  <si>
    <t>Agnew</t>
  </si>
  <si>
    <t>melissa@kennedyreid.com.au</t>
  </si>
  <si>
    <t>Michael</t>
  </si>
  <si>
    <t>Ossitt</t>
  </si>
  <si>
    <t>michael@strandpropertygroup.com.au</t>
  </si>
  <si>
    <t>Young</t>
  </si>
  <si>
    <t>michael.young@knowmore.org.au</t>
  </si>
  <si>
    <t>5/29/2023</t>
  </si>
  <si>
    <t>Michelle</t>
  </si>
  <si>
    <t>michelle@hotlineit.com</t>
  </si>
  <si>
    <t>Mikaela</t>
  </si>
  <si>
    <t>Westwood</t>
  </si>
  <si>
    <t>mikaela.westwood@knowmore.org.au</t>
  </si>
  <si>
    <t>Mike</t>
  </si>
  <si>
    <t>Beukman</t>
  </si>
  <si>
    <t>mdbeukman@gmail.com</t>
  </si>
  <si>
    <t>Mitchell</t>
  </si>
  <si>
    <t>mitchell@joosse.me</t>
  </si>
  <si>
    <t>Natashia</t>
  </si>
  <si>
    <t>Alexander</t>
  </si>
  <si>
    <t>natashia@watkinstaylorstone.com.au</t>
  </si>
  <si>
    <t>Nathalie</t>
  </si>
  <si>
    <t>Berger</t>
  </si>
  <si>
    <t>Nathalie.Berger@knowmore.org.au</t>
  </si>
  <si>
    <t>Nicholas</t>
  </si>
  <si>
    <t>Butler</t>
  </si>
  <si>
    <t>nick@hotlineit.com</t>
  </si>
  <si>
    <t>NICK</t>
  </si>
  <si>
    <t>GRAHAM</t>
  </si>
  <si>
    <t>ngraham@experity.com.au</t>
  </si>
  <si>
    <t>Nick</t>
  </si>
  <si>
    <t>Hudson</t>
  </si>
  <si>
    <t>nick.hudson@knowmore.org.au</t>
  </si>
  <si>
    <t>Nicole</t>
  </si>
  <si>
    <t>James</t>
  </si>
  <si>
    <t>tonicj7274@gmail.com</t>
  </si>
  <si>
    <t>Nimisha</t>
  </si>
  <si>
    <t>Kalimuthu</t>
  </si>
  <si>
    <t>nimisha@hotlineit.com</t>
  </si>
  <si>
    <t>Noah</t>
  </si>
  <si>
    <t>Noel</t>
  </si>
  <si>
    <t>Basile</t>
  </si>
  <si>
    <t>noelbasile2@gmail.com</t>
  </si>
  <si>
    <t>Patricia</t>
  </si>
  <si>
    <t>Villella</t>
  </si>
  <si>
    <t>patricia@pvassist.com.au</t>
  </si>
  <si>
    <t>Patrick</t>
  </si>
  <si>
    <t>patrick.hannan@knowmore.org.au</t>
  </si>
  <si>
    <t>11/1/2023</t>
  </si>
  <si>
    <t>Paul</t>
  </si>
  <si>
    <t>Vogt</t>
  </si>
  <si>
    <t>Paul2020@mail.com</t>
  </si>
  <si>
    <t>06-30-2025</t>
  </si>
  <si>
    <t>Peter</t>
  </si>
  <si>
    <t>De Vega</t>
  </si>
  <si>
    <t>peter@hotlineit.com</t>
  </si>
  <si>
    <t>Philippa</t>
  </si>
  <si>
    <t>Hambling</t>
  </si>
  <si>
    <t>Philippa.hambling@knowmore.org.au</t>
  </si>
  <si>
    <t>Phillip</t>
  </si>
  <si>
    <t>phillip.carter@knowmore.org.au</t>
  </si>
  <si>
    <t>6/2/2023</t>
  </si>
  <si>
    <t>Prameena</t>
  </si>
  <si>
    <t>Karunairaj</t>
  </si>
  <si>
    <t>prameena@efficientliving.com.au</t>
  </si>
  <si>
    <t xml:space="preserve">Rachael </t>
  </si>
  <si>
    <t>Choy</t>
  </si>
  <si>
    <t>rachael.choy@knowmore.org.au</t>
  </si>
  <si>
    <t>Rachel</t>
  </si>
  <si>
    <t>Groenhout</t>
  </si>
  <si>
    <t>Neil</t>
  </si>
  <si>
    <t>Rachel.Neil@knowmore.org.au</t>
  </si>
  <si>
    <t>Pavitt</t>
  </si>
  <si>
    <t>Rebecca</t>
  </si>
  <si>
    <t>Buchanan</t>
  </si>
  <si>
    <t>rebecca@straightupbookkeeping.com.au</t>
  </si>
  <si>
    <t>Cookson</t>
  </si>
  <si>
    <t>rcookson91@gmail.com</t>
  </si>
  <si>
    <t>Cross</t>
  </si>
  <si>
    <t>rebecca.cross@gbst.com</t>
  </si>
  <si>
    <t>Renee</t>
  </si>
  <si>
    <t>Dodds</t>
  </si>
  <si>
    <t>renee.dodds@century21.com.au</t>
  </si>
  <si>
    <t>Stortenbeker</t>
  </si>
  <si>
    <t>reneestortenbeker@gmail.com</t>
  </si>
  <si>
    <t>Renee2</t>
  </si>
  <si>
    <t>Richa</t>
  </si>
  <si>
    <t>Malaviya</t>
  </si>
  <si>
    <t>Richa.Malaviya@knowmore.org.au</t>
  </si>
  <si>
    <t>4/5/2023</t>
  </si>
  <si>
    <t>Richard</t>
  </si>
  <si>
    <t>Smyth</t>
  </si>
  <si>
    <t>richardsmyth21@gmail.com</t>
  </si>
  <si>
    <t>Roba</t>
  </si>
  <si>
    <t>Rayan</t>
  </si>
  <si>
    <t>Roba.Rayan@knowmore.org.au</t>
  </si>
  <si>
    <t>robert</t>
  </si>
  <si>
    <t>kaldor</t>
  </si>
  <si>
    <t>robertkaldor@gmail.com</t>
  </si>
  <si>
    <t>Robin</t>
  </si>
  <si>
    <t>Hunuki</t>
  </si>
  <si>
    <t>Romny</t>
  </si>
  <si>
    <t>Vandoros</t>
  </si>
  <si>
    <t>myartherapist@yahoo.com</t>
  </si>
  <si>
    <t>Rona Jeanne</t>
  </si>
  <si>
    <t>Batucan</t>
  </si>
  <si>
    <t>generalsupport@insuranceadvisoryservice.com.au</t>
  </si>
  <si>
    <t>Rose</t>
  </si>
  <si>
    <t>Castle</t>
  </si>
  <si>
    <t>rose.castle@knowmore.org.au</t>
  </si>
  <si>
    <t xml:space="preserve">Rose	Bouwmeester
</t>
  </si>
  <si>
    <t>Bouwmeester</t>
  </si>
  <si>
    <t>rosebouwmeester@icloud.com</t>
  </si>
  <si>
    <t>Rowan</t>
  </si>
  <si>
    <t>Bates</t>
  </si>
  <si>
    <t>Sadhini</t>
  </si>
  <si>
    <t>Wijesiri</t>
  </si>
  <si>
    <t>sadhini.wijesiri@knowmore.org.au</t>
  </si>
  <si>
    <t>Samantha</t>
  </si>
  <si>
    <t>Hanington</t>
  </si>
  <si>
    <t>Samantha.Hanington@knowmore.org.au</t>
  </si>
  <si>
    <t>Herdman</t>
  </si>
  <si>
    <t>Richards</t>
  </si>
  <si>
    <t>samantha.richards@anz.com</t>
  </si>
  <si>
    <t>Sandra</t>
  </si>
  <si>
    <t>Sarah</t>
  </si>
  <si>
    <t>saelroba@icloud.com</t>
  </si>
  <si>
    <t>sarah@strandpropertygroup.com.au</t>
  </si>
  <si>
    <t>Sascha 2</t>
  </si>
  <si>
    <t>Sascha</t>
  </si>
  <si>
    <t>Seymour</t>
  </si>
  <si>
    <t>scott@watkinstaylorstone.com.au</t>
  </si>
  <si>
    <t>Townsend</t>
  </si>
  <si>
    <t>scott@hotlineit.com</t>
  </si>
  <si>
    <t>Walker</t>
  </si>
  <si>
    <t>scott@kennedyreid.com.au</t>
  </si>
  <si>
    <t>Sean</t>
  </si>
  <si>
    <t>Bowes</t>
  </si>
  <si>
    <t>Sean.Bowes@knowmore.org.au</t>
  </si>
  <si>
    <t>Shahe</t>
  </si>
  <si>
    <t>Momdjian</t>
  </si>
  <si>
    <t>shahe@metamorphmarketing.com.au</t>
  </si>
  <si>
    <t>Sharon</t>
  </si>
  <si>
    <t>Sian</t>
  </si>
  <si>
    <t>sian.griffiths@knowmore.org.au</t>
  </si>
  <si>
    <t>Simon</t>
  </si>
  <si>
    <t>Bruck</t>
  </si>
  <si>
    <t>simonbruck@gmail.com</t>
  </si>
  <si>
    <t>Sonia</t>
  </si>
  <si>
    <t>Blackford</t>
  </si>
  <si>
    <t>sjblackford18@gmail.com</t>
  </si>
  <si>
    <t>Sooze</t>
  </si>
  <si>
    <t>Flood</t>
  </si>
  <si>
    <t>Stacy</t>
  </si>
  <si>
    <t>Thomas</t>
  </si>
  <si>
    <t>statho2000@hotmail.com</t>
  </si>
  <si>
    <t>Steph</t>
  </si>
  <si>
    <t>Brindal</t>
  </si>
  <si>
    <t>Steven</t>
  </si>
  <si>
    <t>Turner</t>
  </si>
  <si>
    <t>Steven.Turner@knowmore.org.au</t>
  </si>
  <si>
    <t>Stuart</t>
  </si>
  <si>
    <t>Freeman</t>
  </si>
  <si>
    <t>stuart@kennedyreid.com.au</t>
  </si>
  <si>
    <t>Sunny Boy</t>
  </si>
  <si>
    <t>Manayaga</t>
  </si>
  <si>
    <t>clientservices@insuranceadvisoryservice.com.au</t>
  </si>
  <si>
    <t>Tania</t>
  </si>
  <si>
    <t>Forward</t>
  </si>
  <si>
    <t>Taniaforward286@gmail.com</t>
  </si>
  <si>
    <t>Tara</t>
  </si>
  <si>
    <t>Ligan</t>
  </si>
  <si>
    <t>genadmin@insuranceadvisoryservice.com.au</t>
  </si>
  <si>
    <t>van Wyk</t>
  </si>
  <si>
    <t>Tara.vanwyk@knowmore.org.au</t>
  </si>
  <si>
    <t>Taryn</t>
  </si>
  <si>
    <t>Greenberg</t>
  </si>
  <si>
    <t>rentals@inhomepm.com.au</t>
  </si>
  <si>
    <t>Teresa</t>
  </si>
  <si>
    <t>Anderson</t>
  </si>
  <si>
    <t>tanderson@insuranceadvisoryservice.com.au</t>
  </si>
  <si>
    <t>Farish</t>
  </si>
  <si>
    <t>haerland@hotmail.com</t>
  </si>
  <si>
    <t>Tina</t>
  </si>
  <si>
    <t>Souksamrane</t>
  </si>
  <si>
    <t>tina@kennedyreid.com.au</t>
  </si>
  <si>
    <t>Tisa</t>
  </si>
  <si>
    <t>van den Heuvel</t>
  </si>
  <si>
    <t>tisa@inhomepm.com.au</t>
  </si>
  <si>
    <t>Tom</t>
  </si>
  <si>
    <t>Rapley</t>
  </si>
  <si>
    <t>tom@kennedyreid.com.au</t>
  </si>
  <si>
    <t>Toni</t>
  </si>
  <si>
    <t>Eyles</t>
  </si>
  <si>
    <t xml:space="preserve">Toni-Maree </t>
  </si>
  <si>
    <t>hannan.tm@gmail.com</t>
  </si>
  <si>
    <t>08-30-2025</t>
  </si>
  <si>
    <t>Tres</t>
  </si>
  <si>
    <t>Montero</t>
  </si>
  <si>
    <t>tres@hotlineit.com</t>
  </si>
  <si>
    <t>Trine</t>
  </si>
  <si>
    <t xml:space="preserve">Vanessa Dimovski </t>
  </si>
  <si>
    <t xml:space="preserve">Vanessa </t>
  </si>
  <si>
    <t>Dimovski</t>
  </si>
  <si>
    <t>vanessa.dimov@gmail.com</t>
  </si>
  <si>
    <t>Vanessa</t>
  </si>
  <si>
    <t>Treverrow</t>
  </si>
  <si>
    <t>vanessa@fordnet.info</t>
  </si>
  <si>
    <t>Victor</t>
  </si>
  <si>
    <t>Rodrigues</t>
  </si>
  <si>
    <t>Warren</t>
  </si>
  <si>
    <t>Strange</t>
  </si>
  <si>
    <t>warren.strange@knowmore.org.au</t>
  </si>
  <si>
    <t>William</t>
  </si>
  <si>
    <t>Dang</t>
  </si>
  <si>
    <t>william.dang@shinemusic.com.au</t>
  </si>
  <si>
    <t>Yousef</t>
  </si>
  <si>
    <t>El dosh</t>
  </si>
  <si>
    <t>yousefeldosh@hotmail.com</t>
  </si>
  <si>
    <t xml:space="preserve">Zoe </t>
  </si>
  <si>
    <t>zoe.smith@knowmore.org.au</t>
  </si>
  <si>
    <t>Marcia</t>
  </si>
  <si>
    <t>Beauge</t>
  </si>
  <si>
    <t>marciabeauge@gmail.com</t>
  </si>
  <si>
    <t>Samuel</t>
  </si>
  <si>
    <t>De Bleeckere</t>
  </si>
  <si>
    <t>samuel@yuwe.be</t>
  </si>
  <si>
    <t>Leslie Ann</t>
  </si>
  <si>
    <t>Faburada</t>
  </si>
  <si>
    <t>leslie.faburada@5elk.com.au</t>
  </si>
  <si>
    <t>02-12-2026</t>
  </si>
  <si>
    <t>Stafa</t>
  </si>
  <si>
    <t>Mjstafa@gmail.com</t>
  </si>
  <si>
    <t>Gabrielle</t>
  </si>
  <si>
    <t>de Knock</t>
  </si>
  <si>
    <t>gabrielledeknock@lifestart.org.au</t>
  </si>
  <si>
    <t>Sofia</t>
  </si>
  <si>
    <t>Ettridge</t>
  </si>
  <si>
    <t>sofiaettridge@lifestart.org.au</t>
  </si>
  <si>
    <t>Everitt</t>
  </si>
  <si>
    <t>petereveritt@lifestart.org.au</t>
  </si>
  <si>
    <t>Vai</t>
  </si>
  <si>
    <t>Maunga</t>
  </si>
  <si>
    <t>vaimaunga@lifestart.org.au</t>
  </si>
  <si>
    <t>Tulasa</t>
  </si>
  <si>
    <t>Pokharel</t>
  </si>
  <si>
    <t>tulasapokharel@lifestart.org.au</t>
  </si>
  <si>
    <t>Zhuang</t>
  </si>
  <si>
    <t>mikezhuang@lifestart.org.au</t>
  </si>
  <si>
    <t>Mead</t>
  </si>
  <si>
    <t>david--mead@hotmail.com</t>
  </si>
  <si>
    <t>Joanne</t>
  </si>
  <si>
    <t>Jjr95@hotmail.co.nz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</si>
</sst>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dd\ mmm\ 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C00000"/>
      <name val="Arial"/>
      <family val="2"/>
    </font>
    <font>
      <sz val="9"/>
      <name val="Arial"/>
      <family val="2"/>
    </font>
    <font>
      <sz val="11"/>
      <color rgb="FF4563B8"/>
      <name val="Arial Narrow"/>
      <family val="2"/>
    </font>
    <font>
      <sz val="9"/>
      <color theme="0"/>
      <name val="Arial"/>
      <family val="2"/>
    </font>
    <font>
      <sz val="10"/>
      <color rgb="FFC00000"/>
      <name val="Arial"/>
      <family val="2"/>
    </font>
    <font>
      <sz val="10"/>
      <name val="Arial Narrow"/>
      <family val="2"/>
    </font>
    <font>
      <sz val="10"/>
      <color theme="1"/>
      <name val="Arial"/>
      <family val="2"/>
    </font>
    <font>
      <sz val="10"/>
      <color rgb="FF4570C0"/>
      <name val="Arial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EEF1"/>
        <bgColor indexed="64"/>
      </patternFill>
    </fill>
    <fill>
      <patternFill patternType="solid">
        <fgColor rgb="FFEEF8F1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9">
    <xf numFmtId="0" fontId="0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" fillId="0" borderId="0"/>
    <xf numFmtId="0" fontId="14" fillId="0" borderId="0" applyBorder="0"/>
    <xf numFmtId="0" fontId="15" fillId="0" borderId="0"/>
    <xf numFmtId="0" fontId="10" fillId="0" borderId="0"/>
  </cellStyleXfs>
  <cellXfs count="66">
    <xf numFmtId="0" fontId="0" fillId="0" borderId="0" xfId="0"/>
    <xf numFmtId="0" fontId="2" fillId="2" borderId="0" xfId="1" applyFont="1" applyFill="1"/>
    <xf numFmtId="164" fontId="3" fillId="2" borderId="0" xfId="1" applyNumberFormat="1" applyFont="1" applyFill="1" applyAlignment="1" applyProtection="1">
      <alignment horizontal="left"/>
      <protection locked="0" hidden="1"/>
    </xf>
    <xf numFmtId="0" fontId="4" fillId="2" borderId="0" xfId="1" applyFont="1" applyFill="1"/>
    <xf numFmtId="0" fontId="5" fillId="2" borderId="0" xfId="1" applyFont="1" applyFill="1"/>
    <xf numFmtId="165" fontId="6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left"/>
    </xf>
    <xf numFmtId="0" fontId="8" fillId="2" borderId="0" xfId="1" applyFont="1" applyFill="1"/>
    <xf numFmtId="0" fontId="4" fillId="2" borderId="0" xfId="1" applyFont="1" applyFill="1" applyAlignment="1">
      <alignment vertical="top"/>
    </xf>
    <xf numFmtId="165" fontId="9" fillId="2" borderId="0" xfId="1" applyNumberFormat="1" applyFont="1" applyFill="1"/>
    <xf numFmtId="0" fontId="2" fillId="2" borderId="0" xfId="1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11" fillId="2" borderId="0" xfId="1" applyFont="1" applyFill="1" applyAlignment="1" applyProtection="1">
      <alignment horizontal="left" vertical="center"/>
      <protection locked="0"/>
    </xf>
    <xf numFmtId="164" fontId="2" fillId="2" borderId="0" xfId="1" applyNumberFormat="1" applyFont="1" applyFill="1" applyAlignment="1" applyProtection="1">
      <alignment horizontal="center"/>
      <protection locked="0" hidden="1"/>
    </xf>
    <xf numFmtId="164" fontId="2" fillId="2" borderId="0" xfId="1" applyNumberFormat="1" applyFont="1" applyFill="1" applyAlignment="1">
      <alignment horizontal="center"/>
    </xf>
    <xf numFmtId="0" fontId="3" fillId="2" borderId="0" xfId="1" applyFont="1" applyFill="1"/>
    <xf numFmtId="164" fontId="3" fillId="2" borderId="0" xfId="1" applyNumberFormat="1" applyFont="1" applyFill="1" applyAlignment="1">
      <alignment horizontal="left"/>
    </xf>
    <xf numFmtId="165" fontId="12" fillId="2" borderId="0" xfId="1" applyNumberFormat="1" applyFont="1" applyFill="1"/>
    <xf numFmtId="0" fontId="3" fillId="2" borderId="0" xfId="1" applyFont="1" applyFill="1" applyAlignment="1">
      <alignment horizontal="left"/>
    </xf>
    <xf numFmtId="0" fontId="10" fillId="3" borderId="1" xfId="1" applyFont="1" applyFill="1" applyBorder="1" applyAlignment="1" applyProtection="1">
      <alignment horizontal="left" vertical="top"/>
      <protection locked="0"/>
    </xf>
    <xf numFmtId="164" fontId="10" fillId="3" borderId="1" xfId="0" applyNumberFormat="1" applyFont="1" applyFill="1" applyBorder="1" applyAlignment="1" applyProtection="1">
      <alignment horizontal="center" vertical="top"/>
      <protection locked="0"/>
    </xf>
    <xf numFmtId="0" fontId="10" fillId="4" borderId="1" xfId="0" applyFont="1" applyFill="1" applyBorder="1" applyAlignment="1" applyProtection="1">
      <alignment vertical="top"/>
      <protection locked="0"/>
    </xf>
    <xf numFmtId="0" fontId="13" fillId="4" borderId="1" xfId="3" applyFont="1" applyFill="1" applyBorder="1" applyAlignment="1" applyProtection="1">
      <alignment vertical="top"/>
      <protection locked="0"/>
    </xf>
    <xf numFmtId="14" fontId="13" fillId="4" borderId="1" xfId="3" applyNumberFormat="1" applyFont="1" applyFill="1" applyBorder="1" applyAlignment="1" applyProtection="1">
      <alignment vertical="top"/>
      <protection locked="0"/>
    </xf>
    <xf numFmtId="0" fontId="10" fillId="3" borderId="2" xfId="1" applyFont="1" applyFill="1" applyBorder="1" applyAlignment="1" applyProtection="1">
      <alignment horizontal="left" vertical="top"/>
      <protection locked="0"/>
    </xf>
    <xf numFmtId="164" fontId="10" fillId="3" borderId="2" xfId="0" applyNumberFormat="1" applyFont="1" applyFill="1" applyBorder="1" applyAlignment="1" applyProtection="1">
      <alignment horizontal="center" vertical="top"/>
      <protection locked="0"/>
    </xf>
    <xf numFmtId="0" fontId="10" fillId="4" borderId="2" xfId="0" applyFont="1" applyFill="1" applyBorder="1" applyAlignment="1" applyProtection="1">
      <alignment vertical="top"/>
      <protection locked="0"/>
    </xf>
    <xf numFmtId="0" fontId="13" fillId="4" borderId="2" xfId="0" applyFont="1" applyFill="1" applyBorder="1" applyAlignment="1" applyProtection="1">
      <alignment vertical="top"/>
      <protection locked="0"/>
    </xf>
    <xf numFmtId="14" fontId="13" fillId="4" borderId="2" xfId="4" applyNumberFormat="1" applyFont="1" applyFill="1" applyBorder="1" applyAlignment="1" applyProtection="1">
      <alignment vertical="top"/>
      <protection locked="0"/>
    </xf>
    <xf numFmtId="0" fontId="10" fillId="4" borderId="2" xfId="1" applyFont="1" applyFill="1" applyBorder="1" applyAlignment="1" applyProtection="1">
      <alignment vertical="top"/>
      <protection locked="0"/>
    </xf>
    <xf numFmtId="0" fontId="10" fillId="4" borderId="2" xfId="5" applyFont="1" applyFill="1" applyBorder="1" applyAlignment="1" applyProtection="1">
      <alignment vertical="top"/>
      <protection locked="0"/>
    </xf>
    <xf numFmtId="14" fontId="13" fillId="4" borderId="2" xfId="0" applyNumberFormat="1" applyFont="1" applyFill="1" applyBorder="1" applyAlignment="1" applyProtection="1">
      <alignment vertical="top"/>
      <protection locked="0"/>
    </xf>
    <xf numFmtId="0" fontId="10" fillId="4" borderId="2" xfId="6" applyFont="1" applyFill="1" applyBorder="1" applyAlignment="1" applyProtection="1">
      <alignment vertical="top"/>
      <protection locked="0"/>
    </xf>
    <xf numFmtId="0" fontId="13" fillId="4" borderId="2" xfId="6" applyFont="1" applyFill="1" applyBorder="1" applyAlignment="1" applyProtection="1">
      <alignment vertical="top"/>
      <protection locked="0"/>
    </xf>
    <xf numFmtId="0" fontId="14" fillId="0" borderId="2" xfId="1" applyFont="1" applyBorder="1" applyAlignment="1" applyProtection="1">
      <alignment vertical="top"/>
      <protection locked="0"/>
    </xf>
    <xf numFmtId="14" fontId="14" fillId="0" borderId="2" xfId="1" applyNumberFormat="1" applyFont="1" applyBorder="1" applyAlignment="1" applyProtection="1">
      <alignment vertical="top"/>
      <protection locked="0"/>
    </xf>
    <xf numFmtId="0" fontId="13" fillId="4" borderId="2" xfId="3" applyFont="1" applyFill="1" applyBorder="1" applyAlignment="1" applyProtection="1">
      <alignment vertical="top"/>
      <protection locked="0"/>
    </xf>
    <xf numFmtId="14" fontId="13" fillId="4" borderId="2" xfId="3" applyNumberFormat="1" applyFont="1" applyFill="1" applyBorder="1" applyAlignment="1" applyProtection="1">
      <alignment vertical="top"/>
      <protection locked="0"/>
    </xf>
    <xf numFmtId="0" fontId="14" fillId="0" borderId="2" xfId="0" applyFont="1" applyBorder="1" applyAlignment="1" applyProtection="1">
      <alignment vertical="top"/>
      <protection locked="0"/>
    </xf>
    <xf numFmtId="0" fontId="10" fillId="4" borderId="2" xfId="4" applyFont="1" applyFill="1" applyBorder="1" applyAlignment="1" applyProtection="1">
      <alignment vertical="top"/>
      <protection locked="0"/>
    </xf>
    <xf numFmtId="0" fontId="13" fillId="4" borderId="2" xfId="4" applyFont="1" applyFill="1" applyBorder="1" applyAlignment="1" applyProtection="1">
      <alignment vertical="top"/>
      <protection locked="0"/>
    </xf>
    <xf numFmtId="14" fontId="14" fillId="0" borderId="2" xfId="0" applyNumberFormat="1" applyFont="1" applyBorder="1" applyAlignment="1" applyProtection="1">
      <alignment vertical="top"/>
      <protection locked="0"/>
    </xf>
    <xf numFmtId="0" fontId="13" fillId="4" borderId="2" xfId="1" applyFont="1" applyFill="1" applyBorder="1" applyAlignment="1" applyProtection="1">
      <alignment vertical="top"/>
      <protection locked="0"/>
    </xf>
    <xf numFmtId="14" fontId="13" fillId="4" borderId="2" xfId="1" applyNumberFormat="1" applyFont="1" applyFill="1" applyBorder="1" applyAlignment="1" applyProtection="1">
      <alignment vertical="top"/>
      <protection locked="0"/>
    </xf>
    <xf numFmtId="0" fontId="13" fillId="4" borderId="2" xfId="7" applyFont="1" applyFill="1" applyBorder="1" applyAlignment="1" applyProtection="1">
      <alignment vertical="top"/>
      <protection locked="0"/>
    </xf>
    <xf numFmtId="0" fontId="10" fillId="4" borderId="2" xfId="8" applyFill="1" applyBorder="1" applyAlignment="1" applyProtection="1">
      <alignment vertical="top"/>
      <protection locked="0"/>
    </xf>
    <xf numFmtId="14" fontId="13" fillId="4" borderId="2" xfId="6" applyNumberFormat="1" applyFont="1" applyFill="1" applyBorder="1" applyAlignment="1" applyProtection="1">
      <alignment vertical="top"/>
      <protection locked="0"/>
    </xf>
    <xf numFmtId="0" fontId="10" fillId="4" borderId="2" xfId="3" applyFill="1" applyBorder="1" applyAlignment="1" applyProtection="1">
      <alignment vertical="top"/>
      <protection locked="0"/>
    </xf>
    <xf numFmtId="0" fontId="13" fillId="4" borderId="2" xfId="8" applyFont="1" applyFill="1" applyBorder="1" applyAlignment="1" applyProtection="1">
      <alignment vertical="top"/>
      <protection locked="0"/>
    </xf>
    <xf numFmtId="14" fontId="13" fillId="4" borderId="2" xfId="8" applyNumberFormat="1" applyFont="1" applyFill="1" applyBorder="1" applyAlignment="1" applyProtection="1">
      <alignment vertical="top"/>
      <protection locked="0"/>
    </xf>
    <xf numFmtId="0" fontId="10" fillId="3" borderId="2" xfId="1" applyFont="1" applyFill="1" applyBorder="1" applyAlignment="1" applyProtection="1">
      <alignment horizontal="left" vertical="top" wrapText="1"/>
      <protection locked="0"/>
    </xf>
    <xf numFmtId="0" fontId="10" fillId="4" borderId="0" xfId="0" applyFont="1" applyFill="1" applyAlignment="1" applyProtection="1">
      <alignment vertical="top"/>
      <protection locked="0"/>
    </xf>
    <xf numFmtId="0" fontId="13" fillId="4" borderId="0" xfId="1" applyFont="1" applyFill="1" applyAlignment="1" applyProtection="1">
      <alignment vertical="top"/>
      <protection locked="0"/>
    </xf>
    <xf numFmtId="14" fontId="13" fillId="4" borderId="0" xfId="1" applyNumberFormat="1" applyFont="1" applyFill="1" applyAlignment="1" applyProtection="1">
      <alignment vertical="top"/>
      <protection locked="0"/>
    </xf>
    <xf numFmtId="0" fontId="10" fillId="4" borderId="0" xfId="5" applyFont="1" applyFill="1" applyAlignment="1" applyProtection="1">
      <alignment vertical="top"/>
      <protection locked="0"/>
    </xf>
    <xf numFmtId="0" fontId="10" fillId="4" borderId="0" xfId="1" applyFont="1" applyFill="1" applyAlignment="1" applyProtection="1">
      <alignment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14" fillId="0" borderId="0" xfId="1" applyFont="1" applyAlignment="1" applyProtection="1">
      <alignment vertical="top"/>
      <protection locked="0"/>
    </xf>
    <xf numFmtId="14" fontId="14" fillId="0" borderId="0" xfId="1" applyNumberFormat="1" applyFont="1" applyAlignment="1" applyProtection="1">
      <alignment vertical="top"/>
      <protection locked="0"/>
    </xf>
    <xf numFmtId="0" fontId="13" fillId="4" borderId="0" xfId="0" applyFont="1" applyFill="1" applyAlignment="1" applyProtection="1">
      <alignment vertical="top"/>
      <protection locked="0"/>
    </xf>
    <xf numFmtId="14" fontId="13" fillId="4" borderId="0" xfId="0" applyNumberFormat="1" applyFont="1" applyFill="1" applyAlignment="1" applyProtection="1">
      <alignment vertical="top"/>
      <protection locked="0"/>
    </xf>
    <xf numFmtId="0" fontId="10" fillId="4" borderId="0" xfId="6" applyFont="1" applyFill="1" applyBorder="1" applyAlignment="1" applyProtection="1">
      <alignment vertical="top"/>
      <protection locked="0"/>
    </xf>
    <xf numFmtId="0" fontId="13" fillId="4" borderId="0" xfId="3" applyFont="1" applyFill="1" applyAlignment="1" applyProtection="1">
      <alignment vertical="top"/>
      <protection locked="0"/>
    </xf>
    <xf numFmtId="14" fontId="13" fillId="4" borderId="0" xfId="3" applyNumberFormat="1" applyFont="1" applyFill="1" applyAlignment="1" applyProtection="1">
      <alignment vertical="top"/>
      <protection locked="0"/>
    </xf>
    <xf numFmtId="0" fontId="14" fillId="0" borderId="0" xfId="6"/>
    <xf numFmtId="14" fontId="14" fillId="0" borderId="0" xfId="0" applyNumberFormat="1" applyFont="1" applyAlignment="1" applyProtection="1">
      <alignment vertical="top"/>
      <protection locked="0"/>
    </xf>
  </cellXfs>
  <cellStyles count="9">
    <cellStyle name="Hyperlink" xfId="7" builtinId="8"/>
    <cellStyle name="Normal" xfId="0" builtinId="0"/>
    <cellStyle name="Normal 2" xfId="5" xr:uid="{78AD33E7-6324-4BE7-B3DA-168D73B40ACF}"/>
    <cellStyle name="Normal 24" xfId="1" xr:uid="{F3FA8C29-D9CF-490D-9032-228537779E4F}"/>
    <cellStyle name="Normal 3" xfId="3" xr:uid="{EEAFC1AF-587B-4BE5-8D0E-247ED2C7DD31}"/>
    <cellStyle name="Normal 34" xfId="4" xr:uid="{9937251C-A4F5-4830-A17D-684170F9324F}"/>
    <cellStyle name="Normal 4" xfId="8" xr:uid="{3CBD6FA5-D016-4CFA-A107-EEE119738A2A}"/>
    <cellStyle name="Normal 43" xfId="6" xr:uid="{48100D3F-A9FC-409B-B01C-2E36C39BD7F6}"/>
    <cellStyle name="Normal 5" xfId="2" xr:uid="{BB903B87-2F30-4F0C-A7FB-BF4B73D3FFC1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180974</xdr:rowOff>
    </xdr:from>
    <xdr:to>
      <xdr:col>4</xdr:col>
      <xdr:colOff>1216025</xdr:colOff>
      <xdr:row>2</xdr:row>
      <xdr:rowOff>29814</xdr:rowOff>
    </xdr:to>
    <xdr:sp macro="[1]!PasteCleanup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6129F35-F762-434D-B91C-0C258CEE5948}"/>
            </a:ext>
          </a:extLst>
        </xdr:cNvPr>
        <xdr:cNvSpPr/>
      </xdr:nvSpPr>
      <xdr:spPr>
        <a:xfrm>
          <a:off x="6829425" y="180974"/>
          <a:ext cx="1130300" cy="214600"/>
        </a:xfrm>
        <a:prstGeom prst="roundRect">
          <a:avLst/>
        </a:prstGeom>
        <a:solidFill>
          <a:srgbClr val="FDF9FA"/>
        </a:solidFill>
        <a:ln w="19050">
          <a:solidFill>
            <a:srgbClr val="B84563"/>
          </a:solidFill>
        </a:ln>
        <a:effectLst>
          <a:outerShdw blurRad="38100" dist="20320" dir="5400000" algn="ctr" rotWithShape="0">
            <a:srgbClr val="000000">
              <a:alpha val="38000"/>
            </a:srgb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Reset Formatting</a:t>
          </a:r>
        </a:p>
      </xdr:txBody>
    </xdr:sp>
    <xdr:clientData/>
  </xdr:twoCellAnchor>
  <xdr:twoCellAnchor editAs="oneCell">
    <xdr:from>
      <xdr:col>0</xdr:col>
      <xdr:colOff>1076325</xdr:colOff>
      <xdr:row>4</xdr:row>
      <xdr:rowOff>9525</xdr:rowOff>
    </xdr:from>
    <xdr:to>
      <xdr:col>0</xdr:col>
      <xdr:colOff>1379220</xdr:colOff>
      <xdr:row>5</xdr:row>
      <xdr:rowOff>19685</xdr:rowOff>
    </xdr:to>
    <xdr:sp macro="[1]!SortThemeTable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99C22DA-8683-49C3-AAAA-F241F1CE9F9E}"/>
            </a:ext>
          </a:extLst>
        </xdr:cNvPr>
        <xdr:cNvSpPr/>
      </xdr:nvSpPr>
      <xdr:spPr>
        <a:xfrm>
          <a:off x="4063365" y="504825"/>
          <a:ext cx="302895" cy="19304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A/Z</a:t>
          </a:r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 ↑</a:t>
          </a:r>
        </a:p>
      </xdr:txBody>
    </xdr:sp>
    <xdr:clientData/>
  </xdr:twoCellAnchor>
  <xdr:twoCellAnchor editAs="oneCell">
    <xdr:from>
      <xdr:col>5</xdr:col>
      <xdr:colOff>504825</xdr:colOff>
      <xdr:row>4</xdr:row>
      <xdr:rowOff>6350</xdr:rowOff>
    </xdr:from>
    <xdr:to>
      <xdr:col>6</xdr:col>
      <xdr:colOff>111125</xdr:colOff>
      <xdr:row>5</xdr:row>
      <xdr:rowOff>6985</xdr:rowOff>
    </xdr:to>
    <xdr:sp macro="[1]!SortThemeTableJ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AC60E61-2D88-4003-922D-FD820AC3A4F2}"/>
            </a:ext>
          </a:extLst>
        </xdr:cNvPr>
        <xdr:cNvSpPr/>
      </xdr:nvSpPr>
      <xdr:spPr>
        <a:xfrm>
          <a:off x="8787765" y="501650"/>
          <a:ext cx="330200" cy="18351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A/Z</a:t>
          </a:r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 ↑</a:t>
          </a:r>
        </a:p>
      </xdr:txBody>
    </xdr:sp>
    <xdr:clientData/>
  </xdr:twoCellAnchor>
  <xdr:twoCellAnchor editAs="oneCell">
    <xdr:from>
      <xdr:col>4</xdr:col>
      <xdr:colOff>1238250</xdr:colOff>
      <xdr:row>4</xdr:row>
      <xdr:rowOff>0</xdr:rowOff>
    </xdr:from>
    <xdr:to>
      <xdr:col>4</xdr:col>
      <xdr:colOff>1539240</xdr:colOff>
      <xdr:row>5</xdr:row>
      <xdr:rowOff>19685</xdr:rowOff>
    </xdr:to>
    <xdr:sp macro="[1]!SortThemeTableI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A5C3B74-B75E-4992-A604-B03464BF18C4}"/>
            </a:ext>
          </a:extLst>
        </xdr:cNvPr>
        <xdr:cNvSpPr/>
      </xdr:nvSpPr>
      <xdr:spPr>
        <a:xfrm>
          <a:off x="7981950" y="495300"/>
          <a:ext cx="300990" cy="20256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A/Z</a:t>
          </a:r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 ↑</a:t>
          </a:r>
        </a:p>
      </xdr:txBody>
    </xdr:sp>
    <xdr:clientData/>
  </xdr:twoCellAnchor>
  <xdr:twoCellAnchor editAs="oneCell">
    <xdr:from>
      <xdr:col>3</xdr:col>
      <xdr:colOff>603250</xdr:colOff>
      <xdr:row>4</xdr:row>
      <xdr:rowOff>12700</xdr:rowOff>
    </xdr:from>
    <xdr:to>
      <xdr:col>3</xdr:col>
      <xdr:colOff>914400</xdr:colOff>
      <xdr:row>5</xdr:row>
      <xdr:rowOff>19685</xdr:rowOff>
    </xdr:to>
    <xdr:sp macro="[1]!SortThemeTableH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D789F02-08D3-4847-84C4-BECE21D3D10A}"/>
            </a:ext>
          </a:extLst>
        </xdr:cNvPr>
        <xdr:cNvSpPr/>
      </xdr:nvSpPr>
      <xdr:spPr>
        <a:xfrm>
          <a:off x="6394450" y="508000"/>
          <a:ext cx="311150" cy="18986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A/Z</a:t>
          </a:r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 ↑</a:t>
          </a:r>
        </a:p>
      </xdr:txBody>
    </xdr:sp>
    <xdr:clientData/>
  </xdr:twoCellAnchor>
  <xdr:twoCellAnchor editAs="oneCell">
    <xdr:from>
      <xdr:col>2</xdr:col>
      <xdr:colOff>514350</xdr:colOff>
      <xdr:row>4</xdr:row>
      <xdr:rowOff>12700</xdr:rowOff>
    </xdr:from>
    <xdr:to>
      <xdr:col>2</xdr:col>
      <xdr:colOff>822325</xdr:colOff>
      <xdr:row>5</xdr:row>
      <xdr:rowOff>19685</xdr:rowOff>
    </xdr:to>
    <xdr:sp macro="[1]!SortThemeTableG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861DF21-0760-43D1-B1CE-525223F53098}"/>
            </a:ext>
          </a:extLst>
        </xdr:cNvPr>
        <xdr:cNvSpPr/>
      </xdr:nvSpPr>
      <xdr:spPr>
        <a:xfrm>
          <a:off x="5459730" y="508000"/>
          <a:ext cx="307975" cy="18986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A/Z</a:t>
          </a:r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 ↑</a:t>
          </a:r>
        </a:p>
      </xdr:txBody>
    </xdr:sp>
    <xdr:clientData/>
  </xdr:twoCellAnchor>
  <xdr:twoCellAnchor editAs="oneCell">
    <xdr:from>
      <xdr:col>1</xdr:col>
      <xdr:colOff>473075</xdr:colOff>
      <xdr:row>4</xdr:row>
      <xdr:rowOff>6349</xdr:rowOff>
    </xdr:from>
    <xdr:to>
      <xdr:col>2</xdr:col>
      <xdr:colOff>99060</xdr:colOff>
      <xdr:row>5</xdr:row>
      <xdr:rowOff>19689</xdr:rowOff>
    </xdr:to>
    <xdr:sp macro="[1]!SortThemeTableF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D7F56AC-EB3E-4E55-B897-9E5C3A265EE5}"/>
            </a:ext>
          </a:extLst>
        </xdr:cNvPr>
        <xdr:cNvSpPr/>
      </xdr:nvSpPr>
      <xdr:spPr>
        <a:xfrm>
          <a:off x="4839335" y="501649"/>
          <a:ext cx="98425" cy="19622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↑</a:t>
          </a:r>
        </a:p>
      </xdr:txBody>
    </xdr:sp>
    <xdr:clientData/>
  </xdr:twoCellAnchor>
  <xdr:twoCellAnchor editAs="oneCell">
    <xdr:from>
      <xdr:col>2</xdr:col>
      <xdr:colOff>577850</xdr:colOff>
      <xdr:row>0</xdr:row>
      <xdr:rowOff>180974</xdr:rowOff>
    </xdr:from>
    <xdr:to>
      <xdr:col>3</xdr:col>
      <xdr:colOff>822960</xdr:colOff>
      <xdr:row>2</xdr:row>
      <xdr:rowOff>29844</xdr:rowOff>
    </xdr:to>
    <xdr:sp macro="[1]!ImportThemes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34557B5-8248-4345-A97E-8E4C01F3995E}"/>
            </a:ext>
          </a:extLst>
        </xdr:cNvPr>
        <xdr:cNvSpPr/>
      </xdr:nvSpPr>
      <xdr:spPr>
        <a:xfrm>
          <a:off x="5523230" y="180974"/>
          <a:ext cx="1106170" cy="214630"/>
        </a:xfrm>
        <a:prstGeom prst="roundRect">
          <a:avLst/>
        </a:prstGeom>
        <a:solidFill>
          <a:srgbClr val="FEF4EC"/>
        </a:solidFill>
        <a:ln w="19050">
          <a:solidFill>
            <a:schemeClr val="accent6"/>
          </a:solidFill>
        </a:ln>
        <a:effectLst>
          <a:outerShdw blurRad="38100" dist="20320" dir="5400000" algn="ctr" rotWithShape="0">
            <a:srgbClr val="000000">
              <a:alpha val="38000"/>
            </a:srgb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Import Themes</a:t>
          </a:r>
        </a:p>
      </xdr:txBody>
    </xdr:sp>
    <xdr:clientData/>
  </xdr:twoCellAnchor>
  <xdr:twoCellAnchor editAs="oneCell">
    <xdr:from>
      <xdr:col>10</xdr:col>
      <xdr:colOff>135396</xdr:colOff>
      <xdr:row>0</xdr:row>
      <xdr:rowOff>94860</xdr:rowOff>
    </xdr:from>
    <xdr:to>
      <xdr:col>11</xdr:col>
      <xdr:colOff>407530</xdr:colOff>
      <xdr:row>3</xdr:row>
      <xdr:rowOff>2298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4B75B4-CC5B-4EAA-B94F-C5CE8A2E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9856" y="94860"/>
          <a:ext cx="1255114" cy="4560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4053847.sharepoint.com/sites/Clients/Shared%20Documents/All%20Files/Gallup%20Reports/Cascade%20Excel/Cascade%202023.xlsm" TargetMode="External"/><Relationship Id="rId1" Type="http://schemas.openxmlformats.org/officeDocument/2006/relationships/externalLinkPath" Target="https://netorgft4053847.sharepoint.com/sites/Clients/Shared%20Documents/All%20Files/Gallup%20Reports/Cascade%20Excel/Cascade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lcome"/>
      <sheetName val="Home"/>
      <sheetName val="Theme Table"/>
      <sheetName val="Frequency"/>
      <sheetName val="Team Grid"/>
      <sheetName val="Spark"/>
      <sheetName val="Summary"/>
      <sheetName val="Team Profiles"/>
      <sheetName val="All 34"/>
      <sheetName val="Roles"/>
      <sheetName val="Power of 2"/>
      <sheetName val="Cover"/>
      <sheetName val="Personal Insights"/>
      <sheetName val="Bring - Need"/>
      <sheetName val="Advantage"/>
      <sheetName val="My 34"/>
      <sheetName val="My Domain"/>
      <sheetName val="Tent"/>
      <sheetName val="Labels"/>
      <sheetName val="Names"/>
      <sheetName val="Info"/>
    </sheetNames>
    <definedNames>
      <definedName name="ImportThemes"/>
      <definedName name="PasteCleanup"/>
      <definedName name="SortThemeTableE"/>
      <definedName name="SortThemeTableF"/>
      <definedName name="SortThemeTableG"/>
      <definedName name="SortThemeTableH"/>
      <definedName name="SortThemeTableI"/>
      <definedName name="SortThemeTableJ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952E-1F20-4A92-BB7B-B7A68E0FB0BB}">
  <dimension ref="A1:P285"/>
  <sheetViews>
    <sheetView tabSelected="1" topLeftCell="A255" workbookViewId="0">
      <selection sqref="A1:XFD1048576"/>
    </sheetView>
  </sheetViews>
  <sheetFormatPr defaultRowHeight="14.4" x14ac:dyDescent="0.3"/>
  <cols>
    <col min="1" max="1" width="24.33203125" bestFit="1" customWidth="1"/>
    <col min="2" max="2" width="6.77734375" bestFit="1" customWidth="1"/>
    <col min="3" max="3" width="12.5546875" bestFit="1" customWidth="1"/>
    <col min="4" max="4" width="17.77734375" bestFit="1" customWidth="1"/>
    <col min="5" max="5" width="37.109375" bestFit="1" customWidth="1"/>
    <col min="6" max="6" width="10.5546875" bestFit="1" customWidth="1"/>
    <col min="7" max="7" width="35" bestFit="1" customWidth="1"/>
    <col min="8" max="9" width="14.33203125" bestFit="1" customWidth="1"/>
    <col min="10" max="10" width="13.88671875" bestFit="1" customWidth="1"/>
    <col min="11" max="12" width="14.33203125" bestFit="1" customWidth="1"/>
    <col min="13" max="13" width="13.88671875" bestFit="1" customWidth="1"/>
    <col min="14" max="14" width="14.33203125" bestFit="1" customWidth="1"/>
    <col min="15" max="15" width="14" bestFit="1" customWidth="1"/>
    <col min="16" max="16" width="14.33203125" bestFit="1" customWidth="1"/>
  </cols>
  <sheetData>
    <row r="1" spans="1:16" x14ac:dyDescent="0.3">
      <c r="A1" s="1"/>
      <c r="B1" s="2"/>
      <c r="C1" s="3"/>
      <c r="D1" s="4"/>
      <c r="E1" s="1"/>
      <c r="F1" s="5"/>
      <c r="G1" s="3" t="s">
        <v>0</v>
      </c>
      <c r="H1" s="1"/>
      <c r="I1" s="1"/>
      <c r="J1" s="1"/>
      <c r="K1" s="3"/>
      <c r="L1" s="1"/>
      <c r="M1" s="6" t="e">
        <f>"Usage "&amp;#REF!</f>
        <v>#REF!</v>
      </c>
      <c r="N1" s="6"/>
      <c r="O1" s="7"/>
      <c r="P1" s="1"/>
    </row>
    <row r="2" spans="1:16" x14ac:dyDescent="0.3">
      <c r="A2" s="1"/>
      <c r="B2" s="2"/>
      <c r="C2" s="8"/>
      <c r="D2" s="4"/>
      <c r="E2" s="1"/>
      <c r="F2" s="9"/>
      <c r="G2" s="3" t="s">
        <v>1</v>
      </c>
      <c r="H2" s="1"/>
      <c r="I2" s="1"/>
      <c r="J2" s="1"/>
      <c r="K2" s="3"/>
      <c r="L2" s="10"/>
      <c r="M2" s="1"/>
      <c r="N2" s="1"/>
      <c r="O2" s="1"/>
      <c r="P2" s="1"/>
    </row>
    <row r="3" spans="1:16" x14ac:dyDescent="0.3">
      <c r="A3" s="11"/>
      <c r="B3" s="11"/>
      <c r="C3" s="7"/>
      <c r="D3" s="1"/>
      <c r="E3" s="12"/>
      <c r="F3" s="9"/>
      <c r="G3" s="1"/>
      <c r="H3" s="1"/>
      <c r="I3" s="1"/>
      <c r="J3" s="1"/>
      <c r="K3" s="1"/>
      <c r="L3" s="10"/>
      <c r="M3" s="1"/>
      <c r="N3" s="1"/>
      <c r="O3" s="1"/>
      <c r="P3" s="1"/>
    </row>
    <row r="4" spans="1:16" x14ac:dyDescent="0.3">
      <c r="A4" s="1"/>
      <c r="B4" s="2"/>
      <c r="C4" s="7"/>
      <c r="D4" s="1"/>
      <c r="E4" s="12"/>
      <c r="F4" s="9"/>
      <c r="G4" s="1"/>
      <c r="H4" s="1"/>
      <c r="I4" s="1"/>
      <c r="J4" s="1"/>
      <c r="K4" s="1"/>
      <c r="L4" s="10"/>
      <c r="M4" s="1"/>
      <c r="N4" s="1"/>
      <c r="O4" s="1"/>
      <c r="P4" s="1"/>
    </row>
    <row r="5" spans="1:16" x14ac:dyDescent="0.3">
      <c r="A5" s="1"/>
      <c r="B5" s="2" t="s">
        <v>2</v>
      </c>
      <c r="C5" s="7"/>
      <c r="D5" s="1"/>
      <c r="E5" s="12"/>
      <c r="F5" s="9"/>
      <c r="G5" s="1"/>
      <c r="H5" s="1"/>
      <c r="I5" s="1"/>
      <c r="J5" s="1"/>
      <c r="K5" s="1"/>
      <c r="L5" s="10"/>
      <c r="M5" s="1"/>
      <c r="N5" s="1"/>
      <c r="O5" s="1"/>
      <c r="P5" s="1"/>
    </row>
    <row r="6" spans="1:16" x14ac:dyDescent="0.3">
      <c r="A6" s="1"/>
      <c r="B6" s="13"/>
      <c r="C6" s="7"/>
      <c r="D6" s="1"/>
      <c r="E6" s="12"/>
      <c r="F6" s="9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3"/>
      <c r="C7" s="7"/>
      <c r="D7" s="1"/>
      <c r="E7" s="12"/>
      <c r="F7" s="9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4"/>
      <c r="C8" s="7"/>
      <c r="D8" s="1"/>
      <c r="E8" s="12"/>
      <c r="F8" s="9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4"/>
      <c r="C9" s="7"/>
      <c r="D9" s="1"/>
      <c r="E9" s="1"/>
      <c r="F9" s="9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5" t="s">
        <v>3</v>
      </c>
      <c r="B10" s="16" t="s">
        <v>4</v>
      </c>
      <c r="C10" s="15" t="s">
        <v>5</v>
      </c>
      <c r="D10" s="15" t="s">
        <v>6</v>
      </c>
      <c r="E10" s="15" t="s">
        <v>7</v>
      </c>
      <c r="F10" s="17" t="s">
        <v>8</v>
      </c>
      <c r="G10" s="18">
        <v>1</v>
      </c>
      <c r="H10" s="18">
        <v>2</v>
      </c>
      <c r="I10" s="18">
        <v>3</v>
      </c>
      <c r="J10" s="18">
        <v>4</v>
      </c>
      <c r="K10" s="18">
        <v>5</v>
      </c>
      <c r="L10" s="18">
        <v>6</v>
      </c>
      <c r="M10" s="18">
        <v>7</v>
      </c>
      <c r="N10" s="18">
        <v>8</v>
      </c>
      <c r="O10" s="18">
        <v>9</v>
      </c>
      <c r="P10" s="18">
        <v>10</v>
      </c>
    </row>
    <row r="11" spans="1:16" x14ac:dyDescent="0.3">
      <c r="A11" s="19" t="str">
        <f t="shared" ref="A11:A74" si="0">CONCATENATE(C11," ",D11)</f>
        <v>Abraham Cohen</v>
      </c>
      <c r="B11" s="20">
        <f t="shared" ref="B11:B74" si="1">IF(COUNTA(G11:AN11)=SUMPRODUCT((G11:AN11&lt;&gt;"")/COUNTIF(G11:AN11,G11:AN11&amp;"")),COUNTA(G11:AN11),"Duplicate")</f>
        <v>10</v>
      </c>
      <c r="C11" s="21" t="s">
        <v>9</v>
      </c>
      <c r="D11" s="21" t="s">
        <v>10</v>
      </c>
      <c r="E11" s="22" t="s">
        <v>11</v>
      </c>
      <c r="F11" s="23"/>
      <c r="G11" s="21" t="s">
        <v>12</v>
      </c>
      <c r="H11" s="21" t="s">
        <v>13</v>
      </c>
      <c r="I11" s="21" t="s">
        <v>14</v>
      </c>
      <c r="J11" s="21" t="s">
        <v>15</v>
      </c>
      <c r="K11" s="21" t="s">
        <v>16</v>
      </c>
      <c r="L11" s="21" t="s">
        <v>17</v>
      </c>
      <c r="M11" s="21" t="s">
        <v>18</v>
      </c>
      <c r="N11" s="21" t="s">
        <v>19</v>
      </c>
      <c r="O11" s="21" t="s">
        <v>20</v>
      </c>
      <c r="P11" s="21" t="s">
        <v>21</v>
      </c>
    </row>
    <row r="12" spans="1:16" x14ac:dyDescent="0.3">
      <c r="A12" s="24" t="str">
        <f t="shared" si="0"/>
        <v>Adam Fritsche</v>
      </c>
      <c r="B12" s="25">
        <f t="shared" si="1"/>
        <v>10</v>
      </c>
      <c r="C12" s="26" t="s">
        <v>22</v>
      </c>
      <c r="D12" s="26" t="s">
        <v>23</v>
      </c>
      <c r="E12" s="27" t="s">
        <v>24</v>
      </c>
      <c r="F12" s="28">
        <v>43626</v>
      </c>
      <c r="G12" s="26" t="s">
        <v>12</v>
      </c>
      <c r="H12" s="26" t="s">
        <v>25</v>
      </c>
      <c r="I12" s="26" t="s">
        <v>14</v>
      </c>
      <c r="J12" s="26" t="s">
        <v>26</v>
      </c>
      <c r="K12" s="26" t="s">
        <v>21</v>
      </c>
      <c r="L12" s="26" t="s">
        <v>13</v>
      </c>
      <c r="M12" s="26" t="s">
        <v>27</v>
      </c>
      <c r="N12" s="26" t="s">
        <v>28</v>
      </c>
      <c r="O12" s="26" t="s">
        <v>29</v>
      </c>
      <c r="P12" s="26" t="s">
        <v>30</v>
      </c>
    </row>
    <row r="13" spans="1:16" x14ac:dyDescent="0.3">
      <c r="A13" s="24" t="str">
        <f t="shared" si="0"/>
        <v>Aimee Brice</v>
      </c>
      <c r="B13" s="25">
        <f t="shared" si="1"/>
        <v>5</v>
      </c>
      <c r="C13" s="26" t="s">
        <v>31</v>
      </c>
      <c r="D13" s="26" t="s">
        <v>32</v>
      </c>
      <c r="E13" s="27" t="s">
        <v>33</v>
      </c>
      <c r="F13" s="28">
        <v>43346</v>
      </c>
      <c r="G13" s="26" t="s">
        <v>34</v>
      </c>
      <c r="H13" s="26" t="s">
        <v>35</v>
      </c>
      <c r="I13" s="26" t="s">
        <v>16</v>
      </c>
      <c r="J13" s="26" t="s">
        <v>36</v>
      </c>
      <c r="K13" s="26" t="s">
        <v>37</v>
      </c>
      <c r="L13" s="26"/>
      <c r="M13" s="26"/>
      <c r="N13" s="26"/>
      <c r="O13" s="26"/>
      <c r="P13" s="26"/>
    </row>
    <row r="14" spans="1:16" x14ac:dyDescent="0.3">
      <c r="A14" s="24" t="str">
        <f t="shared" si="0"/>
        <v>Alex Kralevski</v>
      </c>
      <c r="B14" s="25">
        <f t="shared" si="1"/>
        <v>10</v>
      </c>
      <c r="C14" s="29" t="s">
        <v>38</v>
      </c>
      <c r="D14" s="29" t="s">
        <v>39</v>
      </c>
      <c r="E14" s="27"/>
      <c r="F14" s="28"/>
      <c r="G14" s="26" t="s">
        <v>29</v>
      </c>
      <c r="H14" s="26" t="s">
        <v>12</v>
      </c>
      <c r="I14" s="26" t="s">
        <v>40</v>
      </c>
      <c r="J14" s="26" t="s">
        <v>18</v>
      </c>
      <c r="K14" s="26" t="s">
        <v>21</v>
      </c>
      <c r="L14" s="26" t="s">
        <v>15</v>
      </c>
      <c r="M14" s="26" t="s">
        <v>28</v>
      </c>
      <c r="N14" s="26" t="s">
        <v>41</v>
      </c>
      <c r="O14" s="26" t="s">
        <v>42</v>
      </c>
      <c r="P14" s="26" t="s">
        <v>37</v>
      </c>
    </row>
    <row r="15" spans="1:16" x14ac:dyDescent="0.3">
      <c r="A15" s="24" t="str">
        <f t="shared" si="0"/>
        <v>Alexandra Petkova</v>
      </c>
      <c r="B15" s="25">
        <f t="shared" si="1"/>
        <v>10</v>
      </c>
      <c r="C15" s="30" t="s">
        <v>43</v>
      </c>
      <c r="D15" s="30" t="s">
        <v>44</v>
      </c>
      <c r="E15" s="27" t="s">
        <v>45</v>
      </c>
      <c r="F15" s="31">
        <v>45033</v>
      </c>
      <c r="G15" s="26" t="s">
        <v>46</v>
      </c>
      <c r="H15" s="26" t="s">
        <v>47</v>
      </c>
      <c r="I15" s="26" t="s">
        <v>48</v>
      </c>
      <c r="J15" s="26" t="s">
        <v>12</v>
      </c>
      <c r="K15" s="26" t="s">
        <v>37</v>
      </c>
      <c r="L15" s="26" t="s">
        <v>28</v>
      </c>
      <c r="M15" s="26" t="s">
        <v>15</v>
      </c>
      <c r="N15" s="26" t="s">
        <v>30</v>
      </c>
      <c r="O15" s="26" t="s">
        <v>49</v>
      </c>
      <c r="P15" s="26" t="s">
        <v>50</v>
      </c>
    </row>
    <row r="16" spans="1:16" x14ac:dyDescent="0.3">
      <c r="A16" s="24" t="str">
        <f t="shared" si="0"/>
        <v>Alexia Zsigmond</v>
      </c>
      <c r="B16" s="25">
        <f t="shared" si="1"/>
        <v>10</v>
      </c>
      <c r="C16" s="32" t="s">
        <v>51</v>
      </c>
      <c r="D16" s="32" t="s">
        <v>52</v>
      </c>
      <c r="E16" s="33" t="s">
        <v>53</v>
      </c>
      <c r="F16" s="28">
        <v>45054</v>
      </c>
      <c r="G16" s="32" t="s">
        <v>47</v>
      </c>
      <c r="H16" s="32" t="s">
        <v>49</v>
      </c>
      <c r="I16" s="32" t="s">
        <v>48</v>
      </c>
      <c r="J16" s="32" t="s">
        <v>29</v>
      </c>
      <c r="K16" s="32" t="s">
        <v>34</v>
      </c>
      <c r="L16" s="26" t="s">
        <v>28</v>
      </c>
      <c r="M16" s="26" t="s">
        <v>30</v>
      </c>
      <c r="N16" s="26" t="s">
        <v>54</v>
      </c>
      <c r="O16" s="26" t="s">
        <v>37</v>
      </c>
      <c r="P16" s="26" t="s">
        <v>36</v>
      </c>
    </row>
    <row r="17" spans="1:16" x14ac:dyDescent="0.3">
      <c r="A17" s="24" t="str">
        <f t="shared" si="0"/>
        <v>Ali Facer</v>
      </c>
      <c r="B17" s="25">
        <f t="shared" si="1"/>
        <v>5</v>
      </c>
      <c r="C17" s="26" t="s">
        <v>55</v>
      </c>
      <c r="D17" s="26" t="s">
        <v>56</v>
      </c>
      <c r="E17" s="27" t="s">
        <v>57</v>
      </c>
      <c r="F17" s="28">
        <v>43000</v>
      </c>
      <c r="G17" s="26" t="s">
        <v>58</v>
      </c>
      <c r="H17" s="26" t="s">
        <v>29</v>
      </c>
      <c r="I17" s="26" t="s">
        <v>16</v>
      </c>
      <c r="J17" s="26" t="s">
        <v>42</v>
      </c>
      <c r="K17" s="26" t="s">
        <v>34</v>
      </c>
      <c r="L17" s="26"/>
      <c r="M17" s="26"/>
      <c r="N17" s="26"/>
      <c r="O17" s="26"/>
      <c r="P17" s="26"/>
    </row>
    <row r="18" spans="1:16" x14ac:dyDescent="0.3">
      <c r="A18" s="24" t="str">
        <f t="shared" si="0"/>
        <v>Alison Joosse</v>
      </c>
      <c r="B18" s="25">
        <f t="shared" si="1"/>
        <v>10</v>
      </c>
      <c r="C18" s="34" t="s">
        <v>59</v>
      </c>
      <c r="D18" s="34" t="s">
        <v>60</v>
      </c>
      <c r="E18" s="34" t="s">
        <v>61</v>
      </c>
      <c r="F18" s="35" t="s">
        <v>62</v>
      </c>
      <c r="G18" s="34" t="s">
        <v>18</v>
      </c>
      <c r="H18" s="34" t="s">
        <v>47</v>
      </c>
      <c r="I18" s="34" t="s">
        <v>13</v>
      </c>
      <c r="J18" s="34" t="s">
        <v>30</v>
      </c>
      <c r="K18" s="34" t="s">
        <v>63</v>
      </c>
      <c r="L18" s="34" t="s">
        <v>54</v>
      </c>
      <c r="M18" s="34" t="s">
        <v>29</v>
      </c>
      <c r="N18" s="34" t="s">
        <v>17</v>
      </c>
      <c r="O18" s="34" t="s">
        <v>36</v>
      </c>
      <c r="P18" s="34" t="s">
        <v>48</v>
      </c>
    </row>
    <row r="19" spans="1:16" x14ac:dyDescent="0.3">
      <c r="A19" s="24" t="str">
        <f t="shared" si="0"/>
        <v>Alistair Cascade</v>
      </c>
      <c r="B19" s="25">
        <f t="shared" si="1"/>
        <v>10</v>
      </c>
      <c r="C19" s="30" t="s">
        <v>64</v>
      </c>
      <c r="D19" s="30" t="s">
        <v>65</v>
      </c>
      <c r="E19" s="27"/>
      <c r="F19" s="31"/>
      <c r="G19" s="29" t="s">
        <v>29</v>
      </c>
      <c r="H19" s="29" t="s">
        <v>16</v>
      </c>
      <c r="I19" s="29" t="s">
        <v>58</v>
      </c>
      <c r="J19" s="29" t="s">
        <v>66</v>
      </c>
      <c r="K19" s="29" t="s">
        <v>35</v>
      </c>
      <c r="L19" s="29" t="s">
        <v>28</v>
      </c>
      <c r="M19" s="29" t="s">
        <v>27</v>
      </c>
      <c r="N19" s="29" t="s">
        <v>34</v>
      </c>
      <c r="O19" s="29" t="s">
        <v>42</v>
      </c>
      <c r="P19" s="29" t="s">
        <v>54</v>
      </c>
    </row>
    <row r="20" spans="1:16" x14ac:dyDescent="0.3">
      <c r="A20" s="24" t="str">
        <f t="shared" si="0"/>
        <v>Alyza Camille Villanueva</v>
      </c>
      <c r="B20" s="25">
        <f t="shared" si="1"/>
        <v>10</v>
      </c>
      <c r="C20" s="26" t="s">
        <v>67</v>
      </c>
      <c r="D20" s="26" t="s">
        <v>68</v>
      </c>
      <c r="E20" s="36" t="s">
        <v>69</v>
      </c>
      <c r="F20" s="37">
        <v>44596</v>
      </c>
      <c r="G20" s="26" t="s">
        <v>20</v>
      </c>
      <c r="H20" s="29" t="s">
        <v>46</v>
      </c>
      <c r="I20" s="29" t="s">
        <v>34</v>
      </c>
      <c r="J20" s="29" t="s">
        <v>63</v>
      </c>
      <c r="K20" s="29" t="s">
        <v>42</v>
      </c>
      <c r="L20" s="29" t="s">
        <v>18</v>
      </c>
      <c r="M20" s="29" t="s">
        <v>37</v>
      </c>
      <c r="N20" s="29" t="s">
        <v>12</v>
      </c>
      <c r="O20" s="29" t="s">
        <v>14</v>
      </c>
      <c r="P20" s="29" t="s">
        <v>47</v>
      </c>
    </row>
    <row r="21" spans="1:16" x14ac:dyDescent="0.3">
      <c r="A21" s="24" t="str">
        <f t="shared" si="0"/>
        <v>Amanda Carter</v>
      </c>
      <c r="B21" s="25">
        <f t="shared" si="1"/>
        <v>10</v>
      </c>
      <c r="C21" s="26" t="s">
        <v>70</v>
      </c>
      <c r="D21" s="26" t="s">
        <v>71</v>
      </c>
      <c r="E21" s="27" t="s">
        <v>72</v>
      </c>
      <c r="F21" s="28">
        <v>42816</v>
      </c>
      <c r="G21" s="26" t="s">
        <v>73</v>
      </c>
      <c r="H21" s="26" t="s">
        <v>36</v>
      </c>
      <c r="I21" s="26" t="s">
        <v>12</v>
      </c>
      <c r="J21" s="26" t="s">
        <v>49</v>
      </c>
      <c r="K21" s="26" t="s">
        <v>29</v>
      </c>
      <c r="L21" s="26" t="s">
        <v>14</v>
      </c>
      <c r="M21" s="26" t="s">
        <v>21</v>
      </c>
      <c r="N21" s="26" t="s">
        <v>35</v>
      </c>
      <c r="O21" s="26" t="s">
        <v>28</v>
      </c>
      <c r="P21" s="26" t="s">
        <v>34</v>
      </c>
    </row>
    <row r="22" spans="1:16" x14ac:dyDescent="0.3">
      <c r="A22" s="24" t="str">
        <f t="shared" si="0"/>
        <v>Amanda Millhouse</v>
      </c>
      <c r="B22" s="25">
        <f t="shared" si="1"/>
        <v>10</v>
      </c>
      <c r="C22" s="38" t="s">
        <v>70</v>
      </c>
      <c r="D22" s="38" t="s">
        <v>74</v>
      </c>
      <c r="E22" s="34" t="s">
        <v>75</v>
      </c>
      <c r="F22" s="35" t="s">
        <v>76</v>
      </c>
      <c r="G22" s="34" t="s">
        <v>40</v>
      </c>
      <c r="H22" s="34" t="s">
        <v>37</v>
      </c>
      <c r="I22" s="34" t="s">
        <v>47</v>
      </c>
      <c r="J22" s="34" t="s">
        <v>49</v>
      </c>
      <c r="K22" s="34" t="s">
        <v>36</v>
      </c>
      <c r="L22" s="34" t="s">
        <v>48</v>
      </c>
      <c r="M22" s="34" t="s">
        <v>35</v>
      </c>
      <c r="N22" s="34" t="s">
        <v>29</v>
      </c>
      <c r="O22" s="34" t="s">
        <v>18</v>
      </c>
      <c r="P22" s="34" t="s">
        <v>20</v>
      </c>
    </row>
    <row r="23" spans="1:16" x14ac:dyDescent="0.3">
      <c r="A23" s="24" t="str">
        <f t="shared" si="0"/>
        <v>Amanda Whelan</v>
      </c>
      <c r="B23" s="25">
        <f t="shared" si="1"/>
        <v>10</v>
      </c>
      <c r="C23" s="30" t="s">
        <v>70</v>
      </c>
      <c r="D23" s="30" t="s">
        <v>77</v>
      </c>
      <c r="E23" s="27" t="s">
        <v>78</v>
      </c>
      <c r="F23" s="28">
        <v>45033</v>
      </c>
      <c r="G23" s="26" t="s">
        <v>15</v>
      </c>
      <c r="H23" s="26" t="s">
        <v>18</v>
      </c>
      <c r="I23" s="26" t="s">
        <v>29</v>
      </c>
      <c r="J23" s="26" t="s">
        <v>17</v>
      </c>
      <c r="K23" s="26" t="s">
        <v>16</v>
      </c>
      <c r="L23" s="26" t="s">
        <v>36</v>
      </c>
      <c r="M23" s="26" t="s">
        <v>49</v>
      </c>
      <c r="N23" s="26" t="s">
        <v>58</v>
      </c>
      <c r="O23" s="26" t="s">
        <v>21</v>
      </c>
      <c r="P23" s="26" t="s">
        <v>30</v>
      </c>
    </row>
    <row r="24" spans="1:16" x14ac:dyDescent="0.3">
      <c r="A24" s="24" t="str">
        <f t="shared" si="0"/>
        <v>Amarah Iqbal</v>
      </c>
      <c r="B24" s="25">
        <f t="shared" si="1"/>
        <v>10</v>
      </c>
      <c r="C24" s="26" t="s">
        <v>79</v>
      </c>
      <c r="D24" s="26" t="s">
        <v>80</v>
      </c>
      <c r="E24" s="27" t="s">
        <v>81</v>
      </c>
      <c r="F24" s="31">
        <v>43969</v>
      </c>
      <c r="G24" s="26" t="s">
        <v>17</v>
      </c>
      <c r="H24" s="26" t="s">
        <v>47</v>
      </c>
      <c r="I24" s="26" t="s">
        <v>54</v>
      </c>
      <c r="J24" s="26" t="s">
        <v>37</v>
      </c>
      <c r="K24" s="26" t="s">
        <v>15</v>
      </c>
      <c r="L24" s="26" t="s">
        <v>34</v>
      </c>
      <c r="M24" s="26" t="s">
        <v>66</v>
      </c>
      <c r="N24" s="26" t="s">
        <v>18</v>
      </c>
      <c r="O24" s="26" t="s">
        <v>20</v>
      </c>
      <c r="P24" s="26" t="s">
        <v>63</v>
      </c>
    </row>
    <row r="25" spans="1:16" x14ac:dyDescent="0.3">
      <c r="A25" s="24" t="str">
        <f t="shared" si="0"/>
        <v>Amber Goerke</v>
      </c>
      <c r="B25" s="25">
        <f t="shared" si="1"/>
        <v>10</v>
      </c>
      <c r="C25" s="30" t="s">
        <v>82</v>
      </c>
      <c r="D25" s="30" t="s">
        <v>83</v>
      </c>
      <c r="E25" s="27" t="s">
        <v>84</v>
      </c>
      <c r="F25" s="28" t="s">
        <v>85</v>
      </c>
      <c r="G25" s="29" t="s">
        <v>37</v>
      </c>
      <c r="H25" s="29" t="s">
        <v>27</v>
      </c>
      <c r="I25" s="29" t="s">
        <v>30</v>
      </c>
      <c r="J25" s="29" t="s">
        <v>15</v>
      </c>
      <c r="K25" s="29" t="s">
        <v>66</v>
      </c>
      <c r="L25" s="29" t="s">
        <v>63</v>
      </c>
      <c r="M25" s="29" t="s">
        <v>36</v>
      </c>
      <c r="N25" s="29" t="s">
        <v>48</v>
      </c>
      <c r="O25" s="29" t="s">
        <v>47</v>
      </c>
      <c r="P25" s="29" t="s">
        <v>16</v>
      </c>
    </row>
    <row r="26" spans="1:16" x14ac:dyDescent="0.3">
      <c r="A26" s="24" t="str">
        <f t="shared" si="0"/>
        <v>Amy Barrett</v>
      </c>
      <c r="B26" s="25">
        <f t="shared" si="1"/>
        <v>10</v>
      </c>
      <c r="C26" s="39" t="s">
        <v>86</v>
      </c>
      <c r="D26" s="39" t="s">
        <v>87</v>
      </c>
      <c r="E26" s="40" t="s">
        <v>88</v>
      </c>
      <c r="F26" s="28">
        <v>45033</v>
      </c>
      <c r="G26" s="26" t="s">
        <v>34</v>
      </c>
      <c r="H26" s="29" t="s">
        <v>54</v>
      </c>
      <c r="I26" s="29" t="s">
        <v>18</v>
      </c>
      <c r="J26" s="29" t="s">
        <v>29</v>
      </c>
      <c r="K26" s="26" t="s">
        <v>16</v>
      </c>
      <c r="L26" s="26" t="s">
        <v>28</v>
      </c>
      <c r="M26" s="26" t="s">
        <v>27</v>
      </c>
      <c r="N26" s="26" t="s">
        <v>35</v>
      </c>
      <c r="O26" s="26" t="s">
        <v>66</v>
      </c>
      <c r="P26" s="26" t="s">
        <v>58</v>
      </c>
    </row>
    <row r="27" spans="1:16" x14ac:dyDescent="0.3">
      <c r="A27" s="24" t="str">
        <f t="shared" si="0"/>
        <v>Amy Griffiths</v>
      </c>
      <c r="B27" s="25">
        <f t="shared" si="1"/>
        <v>10</v>
      </c>
      <c r="C27" s="30" t="s">
        <v>86</v>
      </c>
      <c r="D27" s="30" t="s">
        <v>89</v>
      </c>
      <c r="E27" s="27" t="s">
        <v>90</v>
      </c>
      <c r="F27" s="28">
        <v>45033</v>
      </c>
      <c r="G27" s="26" t="s">
        <v>49</v>
      </c>
      <c r="H27" s="29" t="s">
        <v>15</v>
      </c>
      <c r="I27" s="29" t="s">
        <v>12</v>
      </c>
      <c r="J27" s="29" t="s">
        <v>26</v>
      </c>
      <c r="K27" s="29" t="s">
        <v>21</v>
      </c>
      <c r="L27" s="29" t="s">
        <v>29</v>
      </c>
      <c r="M27" s="29" t="s">
        <v>40</v>
      </c>
      <c r="N27" s="29" t="s">
        <v>37</v>
      </c>
      <c r="O27" s="29" t="s">
        <v>35</v>
      </c>
      <c r="P27" s="29" t="s">
        <v>28</v>
      </c>
    </row>
    <row r="28" spans="1:16" x14ac:dyDescent="0.3">
      <c r="A28" s="24" t="str">
        <f t="shared" si="0"/>
        <v>Amy Griffiths</v>
      </c>
      <c r="B28" s="25">
        <f t="shared" si="1"/>
        <v>10</v>
      </c>
      <c r="C28" s="30" t="s">
        <v>86</v>
      </c>
      <c r="D28" s="30" t="s">
        <v>89</v>
      </c>
      <c r="E28" s="27" t="s">
        <v>90</v>
      </c>
      <c r="F28" s="28" t="s">
        <v>91</v>
      </c>
      <c r="G28" s="29" t="s">
        <v>49</v>
      </c>
      <c r="H28" s="29" t="s">
        <v>15</v>
      </c>
      <c r="I28" s="29" t="s">
        <v>12</v>
      </c>
      <c r="J28" s="29" t="s">
        <v>26</v>
      </c>
      <c r="K28" s="29" t="s">
        <v>21</v>
      </c>
      <c r="L28" s="29" t="s">
        <v>29</v>
      </c>
      <c r="M28" s="29" t="s">
        <v>40</v>
      </c>
      <c r="N28" s="29" t="s">
        <v>37</v>
      </c>
      <c r="O28" s="29" t="s">
        <v>35</v>
      </c>
      <c r="P28" s="29" t="s">
        <v>28</v>
      </c>
    </row>
    <row r="29" spans="1:16" x14ac:dyDescent="0.3">
      <c r="A29" s="24" t="str">
        <f t="shared" si="0"/>
        <v>Andrea Doney</v>
      </c>
      <c r="B29" s="25">
        <f t="shared" si="1"/>
        <v>10</v>
      </c>
      <c r="C29" s="38" t="s">
        <v>92</v>
      </c>
      <c r="D29" s="38" t="s">
        <v>93</v>
      </c>
      <c r="E29" s="38" t="s">
        <v>94</v>
      </c>
      <c r="F29" s="41">
        <v>45936</v>
      </c>
      <c r="G29" s="34" t="s">
        <v>37</v>
      </c>
      <c r="H29" s="34" t="s">
        <v>47</v>
      </c>
      <c r="I29" s="34" t="s">
        <v>14</v>
      </c>
      <c r="J29" s="34" t="s">
        <v>30</v>
      </c>
      <c r="K29" s="34" t="s">
        <v>12</v>
      </c>
      <c r="L29" s="34" t="s">
        <v>95</v>
      </c>
      <c r="M29" s="34" t="s">
        <v>18</v>
      </c>
      <c r="N29" s="34" t="s">
        <v>28</v>
      </c>
      <c r="O29" s="34" t="s">
        <v>40</v>
      </c>
      <c r="P29" s="34" t="s">
        <v>41</v>
      </c>
    </row>
    <row r="30" spans="1:16" x14ac:dyDescent="0.3">
      <c r="A30" s="24" t="str">
        <f t="shared" si="0"/>
        <v>Andrea Pearson</v>
      </c>
      <c r="B30" s="25">
        <f t="shared" si="1"/>
        <v>10</v>
      </c>
      <c r="C30" s="26" t="s">
        <v>92</v>
      </c>
      <c r="D30" s="26" t="s">
        <v>96</v>
      </c>
      <c r="E30" s="42" t="s">
        <v>97</v>
      </c>
      <c r="F30" s="43" t="s">
        <v>98</v>
      </c>
      <c r="G30" s="29" t="s">
        <v>63</v>
      </c>
      <c r="H30" s="29" t="s">
        <v>47</v>
      </c>
      <c r="I30" s="29" t="s">
        <v>49</v>
      </c>
      <c r="J30" s="29" t="s">
        <v>37</v>
      </c>
      <c r="K30" s="29" t="s">
        <v>41</v>
      </c>
      <c r="L30" s="29" t="s">
        <v>17</v>
      </c>
      <c r="M30" s="29" t="s">
        <v>30</v>
      </c>
      <c r="N30" s="29" t="s">
        <v>27</v>
      </c>
      <c r="O30" s="29" t="s">
        <v>40</v>
      </c>
      <c r="P30" s="29" t="s">
        <v>66</v>
      </c>
    </row>
    <row r="31" spans="1:16" x14ac:dyDescent="0.3">
      <c r="A31" s="24" t="str">
        <f t="shared" si="0"/>
        <v>Andrea Sharpe</v>
      </c>
      <c r="B31" s="25">
        <f t="shared" si="1"/>
        <v>10</v>
      </c>
      <c r="C31" s="26" t="s">
        <v>92</v>
      </c>
      <c r="D31" s="26" t="s">
        <v>99</v>
      </c>
      <c r="E31" s="36" t="s">
        <v>100</v>
      </c>
      <c r="F31" s="37">
        <v>44537</v>
      </c>
      <c r="G31" s="29" t="s">
        <v>54</v>
      </c>
      <c r="H31" s="26" t="s">
        <v>47</v>
      </c>
      <c r="I31" s="29" t="s">
        <v>63</v>
      </c>
      <c r="J31" s="29" t="s">
        <v>28</v>
      </c>
      <c r="K31" s="26" t="s">
        <v>49</v>
      </c>
      <c r="L31" s="26" t="s">
        <v>35</v>
      </c>
      <c r="M31" s="26" t="s">
        <v>16</v>
      </c>
      <c r="N31" s="26" t="s">
        <v>48</v>
      </c>
      <c r="O31" s="26" t="s">
        <v>18</v>
      </c>
      <c r="P31" s="26" t="s">
        <v>15</v>
      </c>
    </row>
    <row r="32" spans="1:16" x14ac:dyDescent="0.3">
      <c r="A32" s="24" t="str">
        <f t="shared" si="0"/>
        <v>Andrew Baker</v>
      </c>
      <c r="B32" s="25">
        <f t="shared" si="1"/>
        <v>10</v>
      </c>
      <c r="C32" s="26" t="s">
        <v>101</v>
      </c>
      <c r="D32" s="26" t="s">
        <v>102</v>
      </c>
      <c r="E32" s="27"/>
      <c r="F32" s="28">
        <v>43339</v>
      </c>
      <c r="G32" s="26" t="s">
        <v>63</v>
      </c>
      <c r="H32" s="26" t="s">
        <v>25</v>
      </c>
      <c r="I32" s="26" t="s">
        <v>49</v>
      </c>
      <c r="J32" s="26" t="s">
        <v>17</v>
      </c>
      <c r="K32" s="26" t="s">
        <v>15</v>
      </c>
      <c r="L32" s="26" t="s">
        <v>30</v>
      </c>
      <c r="M32" s="26" t="s">
        <v>37</v>
      </c>
      <c r="N32" s="26" t="s">
        <v>41</v>
      </c>
      <c r="O32" s="26" t="s">
        <v>40</v>
      </c>
      <c r="P32" s="26" t="s">
        <v>95</v>
      </c>
    </row>
    <row r="33" spans="1:16" x14ac:dyDescent="0.3">
      <c r="A33" s="24" t="str">
        <f t="shared" si="0"/>
        <v>Ann McLeod</v>
      </c>
      <c r="B33" s="25">
        <f t="shared" si="1"/>
        <v>10</v>
      </c>
      <c r="C33" s="26" t="s">
        <v>103</v>
      </c>
      <c r="D33" s="26" t="s">
        <v>104</v>
      </c>
      <c r="E33" s="44"/>
      <c r="F33" s="43"/>
      <c r="G33" s="29" t="s">
        <v>37</v>
      </c>
      <c r="H33" s="29" t="s">
        <v>34</v>
      </c>
      <c r="I33" s="29" t="s">
        <v>47</v>
      </c>
      <c r="J33" s="29" t="s">
        <v>35</v>
      </c>
      <c r="K33" s="29" t="s">
        <v>54</v>
      </c>
      <c r="L33" s="29" t="s">
        <v>58</v>
      </c>
      <c r="M33" s="29" t="s">
        <v>49</v>
      </c>
      <c r="N33" s="29" t="s">
        <v>20</v>
      </c>
      <c r="O33" s="29" t="s">
        <v>28</v>
      </c>
      <c r="P33" s="29" t="s">
        <v>16</v>
      </c>
    </row>
    <row r="34" spans="1:16" x14ac:dyDescent="0.3">
      <c r="A34" s="24" t="str">
        <f t="shared" si="0"/>
        <v>Annette Elsworth</v>
      </c>
      <c r="B34" s="25">
        <f t="shared" si="1"/>
        <v>10</v>
      </c>
      <c r="C34" s="26" t="s">
        <v>105</v>
      </c>
      <c r="D34" s="26" t="s">
        <v>106</v>
      </c>
      <c r="E34" s="27" t="s">
        <v>107</v>
      </c>
      <c r="F34" s="28">
        <v>43626</v>
      </c>
      <c r="G34" s="26" t="s">
        <v>16</v>
      </c>
      <c r="H34" s="26" t="s">
        <v>66</v>
      </c>
      <c r="I34" s="26" t="s">
        <v>47</v>
      </c>
      <c r="J34" s="26" t="s">
        <v>34</v>
      </c>
      <c r="K34" s="26" t="s">
        <v>15</v>
      </c>
      <c r="L34" s="26" t="s">
        <v>50</v>
      </c>
      <c r="M34" s="26" t="s">
        <v>17</v>
      </c>
      <c r="N34" s="26" t="s">
        <v>54</v>
      </c>
      <c r="O34" s="26" t="s">
        <v>29</v>
      </c>
      <c r="P34" s="26" t="s">
        <v>40</v>
      </c>
    </row>
    <row r="35" spans="1:16" x14ac:dyDescent="0.3">
      <c r="A35" s="24" t="str">
        <f t="shared" si="0"/>
        <v>Anthony Scott</v>
      </c>
      <c r="B35" s="25">
        <f t="shared" si="1"/>
        <v>10</v>
      </c>
      <c r="C35" s="26" t="s">
        <v>108</v>
      </c>
      <c r="D35" s="26" t="s">
        <v>109</v>
      </c>
      <c r="E35" s="27" t="s">
        <v>110</v>
      </c>
      <c r="F35" s="31">
        <v>44389</v>
      </c>
      <c r="G35" s="26" t="s">
        <v>46</v>
      </c>
      <c r="H35" s="26" t="s">
        <v>29</v>
      </c>
      <c r="I35" s="26" t="s">
        <v>15</v>
      </c>
      <c r="J35" s="26" t="s">
        <v>18</v>
      </c>
      <c r="K35" s="26" t="s">
        <v>36</v>
      </c>
      <c r="L35" s="26" t="s">
        <v>12</v>
      </c>
      <c r="M35" s="26" t="s">
        <v>25</v>
      </c>
      <c r="N35" s="26" t="s">
        <v>13</v>
      </c>
      <c r="O35" s="26" t="s">
        <v>37</v>
      </c>
      <c r="P35" s="26" t="s">
        <v>17</v>
      </c>
    </row>
    <row r="36" spans="1:16" x14ac:dyDescent="0.3">
      <c r="A36" s="24" t="str">
        <f t="shared" si="0"/>
        <v>Anthony Wood</v>
      </c>
      <c r="B36" s="25">
        <f t="shared" si="1"/>
        <v>5</v>
      </c>
      <c r="C36" s="26" t="s">
        <v>108</v>
      </c>
      <c r="D36" s="26" t="s">
        <v>111</v>
      </c>
      <c r="E36" s="27" t="s">
        <v>112</v>
      </c>
      <c r="F36" s="28">
        <v>43312</v>
      </c>
      <c r="G36" s="45" t="s">
        <v>14</v>
      </c>
      <c r="H36" s="45" t="s">
        <v>25</v>
      </c>
      <c r="I36" s="45" t="s">
        <v>15</v>
      </c>
      <c r="J36" s="45" t="s">
        <v>18</v>
      </c>
      <c r="K36" s="45" t="s">
        <v>63</v>
      </c>
      <c r="L36" s="45"/>
      <c r="M36" s="45"/>
      <c r="N36" s="45"/>
      <c r="O36" s="45"/>
      <c r="P36" s="45"/>
    </row>
    <row r="37" spans="1:16" x14ac:dyDescent="0.3">
      <c r="A37" s="24" t="str">
        <f t="shared" si="0"/>
        <v>Antoinette Andreucetti</v>
      </c>
      <c r="B37" s="25">
        <f t="shared" si="1"/>
        <v>10</v>
      </c>
      <c r="C37" s="39" t="s">
        <v>113</v>
      </c>
      <c r="D37" s="39" t="s">
        <v>114</v>
      </c>
      <c r="E37" s="40" t="s">
        <v>115</v>
      </c>
      <c r="F37" s="28">
        <v>42183</v>
      </c>
      <c r="G37" s="45" t="s">
        <v>15</v>
      </c>
      <c r="H37" s="45" t="s">
        <v>63</v>
      </c>
      <c r="I37" s="45" t="s">
        <v>12</v>
      </c>
      <c r="J37" s="45" t="s">
        <v>37</v>
      </c>
      <c r="K37" s="45" t="s">
        <v>17</v>
      </c>
      <c r="L37" s="26" t="s">
        <v>14</v>
      </c>
      <c r="M37" s="26" t="s">
        <v>20</v>
      </c>
      <c r="N37" s="26" t="s">
        <v>21</v>
      </c>
      <c r="O37" s="26" t="s">
        <v>41</v>
      </c>
      <c r="P37" s="26" t="s">
        <v>47</v>
      </c>
    </row>
    <row r="38" spans="1:16" x14ac:dyDescent="0.3">
      <c r="A38" s="24" t="str">
        <f t="shared" si="0"/>
        <v>Antoinette Mullins</v>
      </c>
      <c r="B38" s="25">
        <f t="shared" si="1"/>
        <v>10</v>
      </c>
      <c r="C38" s="26" t="s">
        <v>113</v>
      </c>
      <c r="D38" s="26" t="s">
        <v>116</v>
      </c>
      <c r="E38" s="27" t="s">
        <v>117</v>
      </c>
      <c r="F38" s="31"/>
      <c r="G38" s="26" t="s">
        <v>95</v>
      </c>
      <c r="H38" s="26" t="s">
        <v>29</v>
      </c>
      <c r="I38" s="26" t="s">
        <v>28</v>
      </c>
      <c r="J38" s="26" t="s">
        <v>16</v>
      </c>
      <c r="K38" s="26" t="s">
        <v>37</v>
      </c>
      <c r="L38" s="26" t="s">
        <v>18</v>
      </c>
      <c r="M38" s="26" t="s">
        <v>35</v>
      </c>
      <c r="N38" s="26" t="s">
        <v>34</v>
      </c>
      <c r="O38" s="26" t="s">
        <v>50</v>
      </c>
      <c r="P38" s="26" t="s">
        <v>58</v>
      </c>
    </row>
    <row r="39" spans="1:16" x14ac:dyDescent="0.3">
      <c r="A39" s="24" t="str">
        <f t="shared" si="0"/>
        <v>Barsh Szokolay</v>
      </c>
      <c r="B39" s="25">
        <f t="shared" si="1"/>
        <v>10</v>
      </c>
      <c r="C39" s="26" t="s">
        <v>118</v>
      </c>
      <c r="D39" s="26" t="s">
        <v>119</v>
      </c>
      <c r="E39" s="27" t="s">
        <v>120</v>
      </c>
      <c r="F39" s="31">
        <v>43613</v>
      </c>
      <c r="G39" s="26" t="s">
        <v>12</v>
      </c>
      <c r="H39" s="26" t="s">
        <v>15</v>
      </c>
      <c r="I39" s="26" t="s">
        <v>18</v>
      </c>
      <c r="J39" s="26" t="s">
        <v>37</v>
      </c>
      <c r="K39" s="26" t="s">
        <v>25</v>
      </c>
      <c r="L39" s="26" t="s">
        <v>48</v>
      </c>
      <c r="M39" s="26" t="s">
        <v>14</v>
      </c>
      <c r="N39" s="26" t="s">
        <v>30</v>
      </c>
      <c r="O39" s="26" t="s">
        <v>34</v>
      </c>
      <c r="P39" s="26" t="s">
        <v>41</v>
      </c>
    </row>
    <row r="40" spans="1:16" x14ac:dyDescent="0.3">
      <c r="A40" s="24" t="str">
        <f t="shared" si="0"/>
        <v>Basil Smith</v>
      </c>
      <c r="B40" s="25">
        <f t="shared" si="1"/>
        <v>10</v>
      </c>
      <c r="C40" s="30" t="s">
        <v>121</v>
      </c>
      <c r="D40" s="30" t="s">
        <v>122</v>
      </c>
      <c r="E40" s="27" t="s">
        <v>123</v>
      </c>
      <c r="F40" s="28" t="s">
        <v>124</v>
      </c>
      <c r="G40" s="29" t="s">
        <v>54</v>
      </c>
      <c r="H40" s="29" t="s">
        <v>47</v>
      </c>
      <c r="I40" s="29" t="s">
        <v>37</v>
      </c>
      <c r="J40" s="29" t="s">
        <v>63</v>
      </c>
      <c r="K40" s="29" t="s">
        <v>34</v>
      </c>
      <c r="L40" s="29" t="s">
        <v>66</v>
      </c>
      <c r="M40" s="29" t="s">
        <v>15</v>
      </c>
      <c r="N40" s="29" t="s">
        <v>27</v>
      </c>
      <c r="O40" s="29" t="s">
        <v>17</v>
      </c>
      <c r="P40" s="29" t="s">
        <v>58</v>
      </c>
    </row>
    <row r="41" spans="1:16" x14ac:dyDescent="0.3">
      <c r="A41" s="24" t="str">
        <f t="shared" si="0"/>
        <v>Ben Ahearn</v>
      </c>
      <c r="B41" s="25">
        <f t="shared" si="1"/>
        <v>10</v>
      </c>
      <c r="C41" s="29" t="s">
        <v>125</v>
      </c>
      <c r="D41" s="29" t="s">
        <v>126</v>
      </c>
      <c r="E41" s="42"/>
      <c r="F41" s="43">
        <v>45363</v>
      </c>
      <c r="G41" s="29" t="s">
        <v>25</v>
      </c>
      <c r="H41" s="29" t="s">
        <v>15</v>
      </c>
      <c r="I41" s="29" t="s">
        <v>14</v>
      </c>
      <c r="J41" s="29" t="s">
        <v>63</v>
      </c>
      <c r="K41" s="29" t="s">
        <v>41</v>
      </c>
      <c r="L41" s="29" t="s">
        <v>17</v>
      </c>
      <c r="M41" s="29" t="s">
        <v>13</v>
      </c>
      <c r="N41" s="29" t="s">
        <v>26</v>
      </c>
      <c r="O41" s="29" t="s">
        <v>29</v>
      </c>
      <c r="P41" s="29" t="s">
        <v>12</v>
      </c>
    </row>
    <row r="42" spans="1:16" x14ac:dyDescent="0.3">
      <c r="A42" s="24" t="str">
        <f t="shared" si="0"/>
        <v>Brady Joosse</v>
      </c>
      <c r="B42" s="25">
        <f t="shared" si="1"/>
        <v>10</v>
      </c>
      <c r="C42" s="26" t="s">
        <v>127</v>
      </c>
      <c r="D42" s="26" t="s">
        <v>60</v>
      </c>
      <c r="E42" s="36" t="s">
        <v>128</v>
      </c>
      <c r="F42" s="37">
        <v>44377</v>
      </c>
      <c r="G42" s="26" t="s">
        <v>49</v>
      </c>
      <c r="H42" s="26" t="s">
        <v>13</v>
      </c>
      <c r="I42" s="26" t="s">
        <v>26</v>
      </c>
      <c r="J42" s="26" t="s">
        <v>30</v>
      </c>
      <c r="K42" s="26" t="s">
        <v>42</v>
      </c>
      <c r="L42" s="26" t="s">
        <v>50</v>
      </c>
      <c r="M42" s="26" t="s">
        <v>40</v>
      </c>
      <c r="N42" s="26" t="s">
        <v>15</v>
      </c>
      <c r="O42" s="26" t="s">
        <v>73</v>
      </c>
      <c r="P42" s="26" t="s">
        <v>25</v>
      </c>
    </row>
    <row r="43" spans="1:16" x14ac:dyDescent="0.3">
      <c r="A43" s="24" t="str">
        <f t="shared" si="0"/>
        <v>Brenden Fing</v>
      </c>
      <c r="B43" s="25">
        <f t="shared" si="1"/>
        <v>10</v>
      </c>
      <c r="C43" s="26" t="s">
        <v>129</v>
      </c>
      <c r="D43" s="26" t="s">
        <v>130</v>
      </c>
      <c r="E43" s="27" t="s">
        <v>131</v>
      </c>
      <c r="F43" s="31">
        <v>43453</v>
      </c>
      <c r="G43" s="26" t="s">
        <v>40</v>
      </c>
      <c r="H43" s="26" t="s">
        <v>15</v>
      </c>
      <c r="I43" s="26" t="s">
        <v>34</v>
      </c>
      <c r="J43" s="26" t="s">
        <v>66</v>
      </c>
      <c r="K43" s="26" t="s">
        <v>46</v>
      </c>
      <c r="L43" s="26" t="s">
        <v>42</v>
      </c>
      <c r="M43" s="26" t="s">
        <v>18</v>
      </c>
      <c r="N43" s="26" t="s">
        <v>21</v>
      </c>
      <c r="O43" s="26" t="s">
        <v>35</v>
      </c>
      <c r="P43" s="26" t="s">
        <v>16</v>
      </c>
    </row>
    <row r="44" spans="1:16" x14ac:dyDescent="0.3">
      <c r="A44" s="24" t="str">
        <f t="shared" si="0"/>
        <v>Brian Toigo</v>
      </c>
      <c r="B44" s="25">
        <f t="shared" si="1"/>
        <v>10</v>
      </c>
      <c r="C44" s="30" t="s">
        <v>132</v>
      </c>
      <c r="D44" s="30" t="s">
        <v>133</v>
      </c>
      <c r="E44" s="27" t="s">
        <v>134</v>
      </c>
      <c r="F44" s="31" t="s">
        <v>135</v>
      </c>
      <c r="G44" s="29" t="s">
        <v>36</v>
      </c>
      <c r="H44" s="29" t="s">
        <v>66</v>
      </c>
      <c r="I44" s="29" t="s">
        <v>46</v>
      </c>
      <c r="J44" s="29" t="s">
        <v>28</v>
      </c>
      <c r="K44" s="29" t="s">
        <v>25</v>
      </c>
      <c r="L44" s="29" t="s">
        <v>37</v>
      </c>
      <c r="M44" s="29" t="s">
        <v>29</v>
      </c>
      <c r="N44" s="29" t="s">
        <v>18</v>
      </c>
      <c r="O44" s="29" t="s">
        <v>47</v>
      </c>
      <c r="P44" s="29" t="s">
        <v>15</v>
      </c>
    </row>
    <row r="45" spans="1:16" x14ac:dyDescent="0.3">
      <c r="A45" s="24" t="str">
        <f t="shared" si="0"/>
        <v>Bridget Connor</v>
      </c>
      <c r="B45" s="25">
        <f t="shared" si="1"/>
        <v>10</v>
      </c>
      <c r="C45" s="30" t="s">
        <v>136</v>
      </c>
      <c r="D45" s="30" t="s">
        <v>137</v>
      </c>
      <c r="E45" s="27" t="s">
        <v>138</v>
      </c>
      <c r="F45" s="31" t="s">
        <v>139</v>
      </c>
      <c r="G45" s="29" t="s">
        <v>54</v>
      </c>
      <c r="H45" s="29" t="s">
        <v>46</v>
      </c>
      <c r="I45" s="29" t="s">
        <v>13</v>
      </c>
      <c r="J45" s="29" t="s">
        <v>49</v>
      </c>
      <c r="K45" s="29" t="s">
        <v>47</v>
      </c>
      <c r="L45" s="29" t="s">
        <v>58</v>
      </c>
      <c r="M45" s="29" t="s">
        <v>15</v>
      </c>
      <c r="N45" s="29" t="s">
        <v>30</v>
      </c>
      <c r="O45" s="29" t="s">
        <v>50</v>
      </c>
      <c r="P45" s="29" t="s">
        <v>18</v>
      </c>
    </row>
    <row r="46" spans="1:16" x14ac:dyDescent="0.3">
      <c r="A46" s="24" t="str">
        <f t="shared" si="0"/>
        <v>Brie Ward</v>
      </c>
      <c r="B46" s="25">
        <f t="shared" si="1"/>
        <v>10</v>
      </c>
      <c r="C46" s="26" t="s">
        <v>140</v>
      </c>
      <c r="D46" s="26" t="s">
        <v>141</v>
      </c>
      <c r="E46" s="42" t="s">
        <v>142</v>
      </c>
      <c r="F46" s="43" t="s">
        <v>143</v>
      </c>
      <c r="G46" s="29" t="s">
        <v>29</v>
      </c>
      <c r="H46" s="29" t="s">
        <v>48</v>
      </c>
      <c r="I46" s="29" t="s">
        <v>30</v>
      </c>
      <c r="J46" s="29" t="s">
        <v>37</v>
      </c>
      <c r="K46" s="29" t="s">
        <v>15</v>
      </c>
      <c r="L46" s="29" t="s">
        <v>46</v>
      </c>
      <c r="M46" s="29" t="s">
        <v>35</v>
      </c>
      <c r="N46" s="29" t="s">
        <v>34</v>
      </c>
      <c r="O46" s="29" t="s">
        <v>66</v>
      </c>
      <c r="P46" s="29" t="s">
        <v>49</v>
      </c>
    </row>
    <row r="47" spans="1:16" x14ac:dyDescent="0.3">
      <c r="A47" s="24" t="str">
        <f t="shared" si="0"/>
        <v>Briohny Luhrmann</v>
      </c>
      <c r="B47" s="25">
        <f t="shared" si="1"/>
        <v>10</v>
      </c>
      <c r="C47" s="26" t="s">
        <v>144</v>
      </c>
      <c r="D47" s="26" t="s">
        <v>145</v>
      </c>
      <c r="E47" s="42" t="s">
        <v>146</v>
      </c>
      <c r="F47" s="43">
        <v>43871</v>
      </c>
      <c r="G47" s="26" t="s">
        <v>42</v>
      </c>
      <c r="H47" s="26" t="s">
        <v>36</v>
      </c>
      <c r="I47" s="26" t="s">
        <v>54</v>
      </c>
      <c r="J47" s="26" t="s">
        <v>49</v>
      </c>
      <c r="K47" s="26" t="s">
        <v>29</v>
      </c>
      <c r="L47" s="26" t="s">
        <v>30</v>
      </c>
      <c r="M47" s="26" t="s">
        <v>16</v>
      </c>
      <c r="N47" s="26" t="s">
        <v>47</v>
      </c>
      <c r="O47" s="26" t="s">
        <v>95</v>
      </c>
      <c r="P47" s="26" t="s">
        <v>18</v>
      </c>
    </row>
    <row r="48" spans="1:16" x14ac:dyDescent="0.3">
      <c r="A48" s="24" t="str">
        <f t="shared" si="0"/>
        <v>Bron O'Loan</v>
      </c>
      <c r="B48" s="25">
        <f t="shared" si="1"/>
        <v>10</v>
      </c>
      <c r="C48" s="26" t="s">
        <v>147</v>
      </c>
      <c r="D48" s="26" t="s">
        <v>148</v>
      </c>
      <c r="E48" s="36" t="s">
        <v>149</v>
      </c>
      <c r="F48" s="37">
        <v>44333</v>
      </c>
      <c r="G48" s="26" t="s">
        <v>35</v>
      </c>
      <c r="H48" s="26" t="s">
        <v>27</v>
      </c>
      <c r="I48" s="26" t="s">
        <v>12</v>
      </c>
      <c r="J48" s="26" t="s">
        <v>42</v>
      </c>
      <c r="K48" s="26" t="s">
        <v>14</v>
      </c>
      <c r="L48" s="26" t="s">
        <v>16</v>
      </c>
      <c r="M48" s="26" t="s">
        <v>28</v>
      </c>
      <c r="N48" s="26" t="s">
        <v>21</v>
      </c>
      <c r="O48" s="26" t="s">
        <v>58</v>
      </c>
      <c r="P48" s="26" t="s">
        <v>26</v>
      </c>
    </row>
    <row r="49" spans="1:16" x14ac:dyDescent="0.3">
      <c r="A49" s="24" t="str">
        <f t="shared" si="0"/>
        <v>Caitlin Galbraith</v>
      </c>
      <c r="B49" s="25">
        <f t="shared" si="1"/>
        <v>10</v>
      </c>
      <c r="C49" s="26" t="s">
        <v>150</v>
      </c>
      <c r="D49" s="26" t="s">
        <v>151</v>
      </c>
      <c r="E49" s="36" t="s">
        <v>152</v>
      </c>
      <c r="F49" s="37"/>
      <c r="G49" s="26" t="s">
        <v>20</v>
      </c>
      <c r="H49" s="26" t="s">
        <v>63</v>
      </c>
      <c r="I49" s="26" t="s">
        <v>35</v>
      </c>
      <c r="J49" s="26" t="s">
        <v>27</v>
      </c>
      <c r="K49" s="26" t="s">
        <v>16</v>
      </c>
      <c r="L49" s="26" t="s">
        <v>18</v>
      </c>
      <c r="M49" s="26" t="s">
        <v>13</v>
      </c>
      <c r="N49" s="26" t="s">
        <v>17</v>
      </c>
      <c r="O49" s="26" t="s">
        <v>47</v>
      </c>
      <c r="P49" s="26" t="s">
        <v>14</v>
      </c>
    </row>
    <row r="50" spans="1:16" x14ac:dyDescent="0.3">
      <c r="A50" s="24" t="str">
        <f t="shared" si="0"/>
        <v>Cara Spencer</v>
      </c>
      <c r="B50" s="25">
        <f t="shared" si="1"/>
        <v>10</v>
      </c>
      <c r="C50" s="26" t="s">
        <v>153</v>
      </c>
      <c r="D50" s="26" t="s">
        <v>154</v>
      </c>
      <c r="E50" s="36" t="s">
        <v>155</v>
      </c>
      <c r="F50" s="37"/>
      <c r="G50" s="26" t="s">
        <v>36</v>
      </c>
      <c r="H50" s="26" t="s">
        <v>37</v>
      </c>
      <c r="I50" s="26" t="s">
        <v>46</v>
      </c>
      <c r="J50" s="26" t="s">
        <v>12</v>
      </c>
      <c r="K50" s="26" t="s">
        <v>17</v>
      </c>
      <c r="L50" s="26" t="s">
        <v>18</v>
      </c>
      <c r="M50" s="26" t="s">
        <v>47</v>
      </c>
      <c r="N50" s="26" t="s">
        <v>15</v>
      </c>
      <c r="O50" s="26" t="s">
        <v>14</v>
      </c>
      <c r="P50" s="26" t="s">
        <v>49</v>
      </c>
    </row>
    <row r="51" spans="1:16" x14ac:dyDescent="0.3">
      <c r="A51" s="24" t="str">
        <f t="shared" si="0"/>
        <v>Carmen Tran</v>
      </c>
      <c r="B51" s="25">
        <f t="shared" si="1"/>
        <v>10</v>
      </c>
      <c r="C51" s="26" t="s">
        <v>156</v>
      </c>
      <c r="D51" s="26" t="s">
        <v>157</v>
      </c>
      <c r="E51" s="36" t="s">
        <v>158</v>
      </c>
      <c r="F51" s="37">
        <v>44547</v>
      </c>
      <c r="G51" s="29" t="s">
        <v>46</v>
      </c>
      <c r="H51" s="26" t="s">
        <v>29</v>
      </c>
      <c r="I51" s="29" t="s">
        <v>15</v>
      </c>
      <c r="J51" s="29" t="s">
        <v>18</v>
      </c>
      <c r="K51" s="26" t="s">
        <v>49</v>
      </c>
      <c r="L51" s="26" t="s">
        <v>25</v>
      </c>
      <c r="M51" s="26" t="s">
        <v>41</v>
      </c>
      <c r="N51" s="26" t="s">
        <v>21</v>
      </c>
      <c r="O51" s="26" t="s">
        <v>42</v>
      </c>
      <c r="P51" s="26" t="s">
        <v>54</v>
      </c>
    </row>
    <row r="52" spans="1:16" x14ac:dyDescent="0.3">
      <c r="A52" s="24" t="str">
        <f t="shared" si="0"/>
        <v>Caroline Beggs</v>
      </c>
      <c r="B52" s="25">
        <f t="shared" si="1"/>
        <v>5</v>
      </c>
      <c r="C52" s="26" t="s">
        <v>159</v>
      </c>
      <c r="D52" s="26" t="s">
        <v>160</v>
      </c>
      <c r="E52" s="27" t="s">
        <v>161</v>
      </c>
      <c r="F52" s="31">
        <v>43149</v>
      </c>
      <c r="G52" s="26" t="s">
        <v>35</v>
      </c>
      <c r="H52" s="26" t="s">
        <v>58</v>
      </c>
      <c r="I52" s="26" t="s">
        <v>16</v>
      </c>
      <c r="J52" s="26" t="s">
        <v>49</v>
      </c>
      <c r="K52" s="26" t="s">
        <v>34</v>
      </c>
      <c r="L52" s="26"/>
      <c r="M52" s="26"/>
      <c r="N52" s="26"/>
      <c r="O52" s="26"/>
      <c r="P52" s="26"/>
    </row>
    <row r="53" spans="1:16" x14ac:dyDescent="0.3">
      <c r="A53" s="24" t="str">
        <f t="shared" si="0"/>
        <v>Caspian McLeod</v>
      </c>
      <c r="B53" s="25">
        <f t="shared" si="1"/>
        <v>10</v>
      </c>
      <c r="C53" s="29" t="s">
        <v>162</v>
      </c>
      <c r="D53" s="29" t="s">
        <v>104</v>
      </c>
      <c r="E53" s="42"/>
      <c r="F53" s="43"/>
      <c r="G53" s="29" t="s">
        <v>30</v>
      </c>
      <c r="H53" s="29" t="s">
        <v>47</v>
      </c>
      <c r="I53" s="29" t="s">
        <v>49</v>
      </c>
      <c r="J53" s="29" t="s">
        <v>20</v>
      </c>
      <c r="K53" s="29" t="s">
        <v>29</v>
      </c>
      <c r="L53" s="29" t="s">
        <v>36</v>
      </c>
      <c r="M53" s="29" t="s">
        <v>14</v>
      </c>
      <c r="N53" s="29" t="s">
        <v>34</v>
      </c>
      <c r="O53" s="29" t="s">
        <v>17</v>
      </c>
      <c r="P53" s="29" t="s">
        <v>54</v>
      </c>
    </row>
    <row r="54" spans="1:16" x14ac:dyDescent="0.3">
      <c r="A54" s="24" t="str">
        <f t="shared" si="0"/>
        <v>Cath Baker</v>
      </c>
      <c r="B54" s="25">
        <f t="shared" si="1"/>
        <v>10</v>
      </c>
      <c r="C54" s="26" t="s">
        <v>163</v>
      </c>
      <c r="D54" s="26" t="s">
        <v>102</v>
      </c>
      <c r="E54" s="44" t="s">
        <v>164</v>
      </c>
      <c r="F54" s="31">
        <v>43557</v>
      </c>
      <c r="G54" s="26" t="s">
        <v>48</v>
      </c>
      <c r="H54" s="26" t="s">
        <v>36</v>
      </c>
      <c r="I54" s="26" t="s">
        <v>20</v>
      </c>
      <c r="J54" s="26" t="s">
        <v>58</v>
      </c>
      <c r="K54" s="26" t="s">
        <v>46</v>
      </c>
      <c r="L54" s="26" t="s">
        <v>18</v>
      </c>
      <c r="M54" s="26" t="s">
        <v>66</v>
      </c>
      <c r="N54" s="26" t="s">
        <v>49</v>
      </c>
      <c r="O54" s="26" t="s">
        <v>34</v>
      </c>
      <c r="P54" s="26" t="s">
        <v>47</v>
      </c>
    </row>
    <row r="55" spans="1:16" x14ac:dyDescent="0.3">
      <c r="A55" s="24" t="str">
        <f t="shared" si="0"/>
        <v>Charlie Sedanayasa</v>
      </c>
      <c r="B55" s="25">
        <f t="shared" si="1"/>
        <v>10</v>
      </c>
      <c r="C55" s="26" t="s">
        <v>165</v>
      </c>
      <c r="D55" s="26" t="s">
        <v>166</v>
      </c>
      <c r="E55" s="27"/>
      <c r="F55" s="31"/>
      <c r="G55" s="29" t="s">
        <v>30</v>
      </c>
      <c r="H55" s="29" t="s">
        <v>49</v>
      </c>
      <c r="I55" s="29" t="s">
        <v>54</v>
      </c>
      <c r="J55" s="29" t="s">
        <v>37</v>
      </c>
      <c r="K55" s="29" t="s">
        <v>66</v>
      </c>
      <c r="L55" s="29" t="s">
        <v>29</v>
      </c>
      <c r="M55" s="29" t="s">
        <v>34</v>
      </c>
      <c r="N55" s="29" t="s">
        <v>47</v>
      </c>
      <c r="O55" s="29" t="s">
        <v>18</v>
      </c>
      <c r="P55" s="29" t="s">
        <v>19</v>
      </c>
    </row>
    <row r="56" spans="1:16" x14ac:dyDescent="0.3">
      <c r="A56" s="24" t="str">
        <f t="shared" si="0"/>
        <v>Cheree Banister</v>
      </c>
      <c r="B56" s="25">
        <f t="shared" si="1"/>
        <v>10</v>
      </c>
      <c r="C56" s="26" t="s">
        <v>167</v>
      </c>
      <c r="D56" s="26" t="s">
        <v>168</v>
      </c>
      <c r="E56" s="27" t="s">
        <v>169</v>
      </c>
      <c r="F56" s="31">
        <v>44279</v>
      </c>
      <c r="G56" s="26" t="s">
        <v>37</v>
      </c>
      <c r="H56" s="26" t="s">
        <v>63</v>
      </c>
      <c r="I56" s="26" t="s">
        <v>54</v>
      </c>
      <c r="J56" s="26" t="s">
        <v>46</v>
      </c>
      <c r="K56" s="26" t="s">
        <v>48</v>
      </c>
      <c r="L56" s="26" t="s">
        <v>30</v>
      </c>
      <c r="M56" s="26" t="s">
        <v>15</v>
      </c>
      <c r="N56" s="26" t="s">
        <v>66</v>
      </c>
      <c r="O56" s="26" t="s">
        <v>34</v>
      </c>
      <c r="P56" s="26" t="s">
        <v>20</v>
      </c>
    </row>
    <row r="57" spans="1:16" x14ac:dyDescent="0.3">
      <c r="A57" s="24" t="str">
        <f t="shared" si="0"/>
        <v>Chris Nutbean</v>
      </c>
      <c r="B57" s="25">
        <f t="shared" si="1"/>
        <v>10</v>
      </c>
      <c r="C57" s="32" t="s">
        <v>170</v>
      </c>
      <c r="D57" s="32" t="s">
        <v>171</v>
      </c>
      <c r="E57" s="33" t="s">
        <v>172</v>
      </c>
      <c r="F57" s="46" t="s">
        <v>173</v>
      </c>
      <c r="G57" s="32" t="s">
        <v>12</v>
      </c>
      <c r="H57" s="32" t="s">
        <v>42</v>
      </c>
      <c r="I57" s="32" t="s">
        <v>21</v>
      </c>
      <c r="J57" s="32" t="s">
        <v>41</v>
      </c>
      <c r="K57" s="32" t="s">
        <v>14</v>
      </c>
      <c r="L57" s="32" t="s">
        <v>28</v>
      </c>
      <c r="M57" s="32" t="s">
        <v>15</v>
      </c>
      <c r="N57" s="32" t="s">
        <v>66</v>
      </c>
      <c r="O57" s="32" t="s">
        <v>19</v>
      </c>
      <c r="P57" s="32" t="s">
        <v>34</v>
      </c>
    </row>
    <row r="58" spans="1:16" x14ac:dyDescent="0.3">
      <c r="A58" s="24" t="str">
        <f t="shared" si="0"/>
        <v>Claire Nielsen</v>
      </c>
      <c r="B58" s="25">
        <f t="shared" si="1"/>
        <v>10</v>
      </c>
      <c r="C58" s="39" t="s">
        <v>174</v>
      </c>
      <c r="D58" s="29" t="s">
        <v>175</v>
      </c>
      <c r="E58" s="40" t="s">
        <v>176</v>
      </c>
      <c r="F58" s="28">
        <v>43701</v>
      </c>
      <c r="G58" s="26" t="s">
        <v>46</v>
      </c>
      <c r="H58" s="26" t="s">
        <v>63</v>
      </c>
      <c r="I58" s="26" t="s">
        <v>37</v>
      </c>
      <c r="J58" s="26" t="s">
        <v>30</v>
      </c>
      <c r="K58" s="26" t="s">
        <v>47</v>
      </c>
      <c r="L58" s="26" t="s">
        <v>18</v>
      </c>
      <c r="M58" s="26" t="s">
        <v>49</v>
      </c>
      <c r="N58" s="26" t="s">
        <v>17</v>
      </c>
      <c r="O58" s="26" t="s">
        <v>54</v>
      </c>
      <c r="P58" s="26" t="s">
        <v>14</v>
      </c>
    </row>
    <row r="59" spans="1:16" x14ac:dyDescent="0.3">
      <c r="A59" s="24" t="str">
        <f t="shared" si="0"/>
        <v>Craig O’Shannessy</v>
      </c>
      <c r="B59" s="25">
        <f t="shared" si="1"/>
        <v>10</v>
      </c>
      <c r="C59" s="26" t="s">
        <v>177</v>
      </c>
      <c r="D59" s="26" t="s">
        <v>178</v>
      </c>
      <c r="E59" s="36" t="s">
        <v>179</v>
      </c>
      <c r="F59" s="37">
        <v>44480</v>
      </c>
      <c r="G59" s="26" t="s">
        <v>41</v>
      </c>
      <c r="H59" s="26" t="s">
        <v>47</v>
      </c>
      <c r="I59" s="26" t="s">
        <v>17</v>
      </c>
      <c r="J59" s="26" t="s">
        <v>63</v>
      </c>
      <c r="K59" s="26" t="s">
        <v>26</v>
      </c>
      <c r="L59" s="26" t="s">
        <v>46</v>
      </c>
      <c r="M59" s="26" t="s">
        <v>28</v>
      </c>
      <c r="N59" s="26" t="s">
        <v>37</v>
      </c>
      <c r="O59" s="26" t="s">
        <v>15</v>
      </c>
      <c r="P59" s="26" t="s">
        <v>73</v>
      </c>
    </row>
    <row r="60" spans="1:16" x14ac:dyDescent="0.3">
      <c r="A60" s="24" t="str">
        <f t="shared" si="0"/>
        <v>Craig Saphin</v>
      </c>
      <c r="B60" s="25">
        <f t="shared" si="1"/>
        <v>10</v>
      </c>
      <c r="C60" s="39" t="s">
        <v>177</v>
      </c>
      <c r="D60" s="29" t="s">
        <v>180</v>
      </c>
      <c r="E60" s="40" t="s">
        <v>181</v>
      </c>
      <c r="F60" s="28">
        <v>43499</v>
      </c>
      <c r="G60" s="26" t="s">
        <v>18</v>
      </c>
      <c r="H60" s="26" t="s">
        <v>29</v>
      </c>
      <c r="I60" s="26" t="s">
        <v>49</v>
      </c>
      <c r="J60" s="26" t="s">
        <v>28</v>
      </c>
      <c r="K60" s="26" t="s">
        <v>30</v>
      </c>
      <c r="L60" s="26" t="s">
        <v>14</v>
      </c>
      <c r="M60" s="26" t="s">
        <v>66</v>
      </c>
      <c r="N60" s="26" t="s">
        <v>25</v>
      </c>
      <c r="O60" s="26" t="s">
        <v>12</v>
      </c>
      <c r="P60" s="26" t="s">
        <v>42</v>
      </c>
    </row>
    <row r="61" spans="1:16" x14ac:dyDescent="0.3">
      <c r="A61" s="24" t="str">
        <f t="shared" si="0"/>
        <v>Crionna Doyle</v>
      </c>
      <c r="B61" s="25">
        <f t="shared" si="1"/>
        <v>10</v>
      </c>
      <c r="C61" s="39" t="s">
        <v>182</v>
      </c>
      <c r="D61" s="29" t="s">
        <v>183</v>
      </c>
      <c r="E61" s="40" t="s">
        <v>184</v>
      </c>
      <c r="F61" s="28">
        <v>43541</v>
      </c>
      <c r="G61" s="26" t="s">
        <v>16</v>
      </c>
      <c r="H61" s="26" t="s">
        <v>46</v>
      </c>
      <c r="I61" s="26" t="s">
        <v>34</v>
      </c>
      <c r="J61" s="26" t="s">
        <v>12</v>
      </c>
      <c r="K61" s="26" t="s">
        <v>58</v>
      </c>
      <c r="L61" s="26" t="s">
        <v>29</v>
      </c>
      <c r="M61" s="26" t="s">
        <v>28</v>
      </c>
      <c r="N61" s="26" t="s">
        <v>35</v>
      </c>
      <c r="O61" s="26" t="s">
        <v>26</v>
      </c>
      <c r="P61" s="26" t="s">
        <v>73</v>
      </c>
    </row>
    <row r="62" spans="1:16" x14ac:dyDescent="0.3">
      <c r="A62" s="24" t="str">
        <f t="shared" si="0"/>
        <v>Dan Berry</v>
      </c>
      <c r="B62" s="25">
        <f t="shared" si="1"/>
        <v>10</v>
      </c>
      <c r="C62" s="29" t="s">
        <v>185</v>
      </c>
      <c r="D62" s="29" t="s">
        <v>186</v>
      </c>
      <c r="E62" s="42"/>
      <c r="F62" s="43"/>
      <c r="G62" s="29" t="s">
        <v>47</v>
      </c>
      <c r="H62" s="29" t="s">
        <v>14</v>
      </c>
      <c r="I62" s="29" t="s">
        <v>28</v>
      </c>
      <c r="J62" s="29" t="s">
        <v>73</v>
      </c>
      <c r="K62" s="29" t="s">
        <v>18</v>
      </c>
      <c r="L62" s="29" t="s">
        <v>40</v>
      </c>
      <c r="M62" s="29" t="s">
        <v>54</v>
      </c>
      <c r="N62" s="29" t="s">
        <v>50</v>
      </c>
      <c r="O62" s="29" t="s">
        <v>37</v>
      </c>
      <c r="P62" s="29" t="s">
        <v>49</v>
      </c>
    </row>
    <row r="63" spans="1:16" x14ac:dyDescent="0.3">
      <c r="A63" s="24" t="str">
        <f t="shared" si="0"/>
        <v>Dan Murphy</v>
      </c>
      <c r="B63" s="25">
        <f t="shared" si="1"/>
        <v>10</v>
      </c>
      <c r="C63" s="29" t="s">
        <v>185</v>
      </c>
      <c r="D63" s="29" t="s">
        <v>187</v>
      </c>
      <c r="E63" s="42"/>
      <c r="F63" s="43"/>
      <c r="G63" s="29" t="s">
        <v>12</v>
      </c>
      <c r="H63" s="29" t="s">
        <v>58</v>
      </c>
      <c r="I63" s="29" t="s">
        <v>14</v>
      </c>
      <c r="J63" s="29" t="s">
        <v>34</v>
      </c>
      <c r="K63" s="29" t="s">
        <v>47</v>
      </c>
      <c r="L63" s="29" t="s">
        <v>73</v>
      </c>
      <c r="M63" s="29" t="s">
        <v>29</v>
      </c>
      <c r="N63" s="29" t="s">
        <v>42</v>
      </c>
      <c r="O63" s="29" t="s">
        <v>37</v>
      </c>
      <c r="P63" s="29" t="s">
        <v>27</v>
      </c>
    </row>
    <row r="64" spans="1:16" x14ac:dyDescent="0.3">
      <c r="A64" s="24" t="str">
        <f t="shared" si="0"/>
        <v>Danelle Lever</v>
      </c>
      <c r="B64" s="25">
        <f t="shared" si="1"/>
        <v>10</v>
      </c>
      <c r="C64" s="30" t="s">
        <v>188</v>
      </c>
      <c r="D64" s="30" t="s">
        <v>189</v>
      </c>
      <c r="E64" s="27" t="s">
        <v>190</v>
      </c>
      <c r="F64" s="28">
        <v>45033</v>
      </c>
      <c r="G64" s="26" t="s">
        <v>18</v>
      </c>
      <c r="H64" s="29" t="s">
        <v>49</v>
      </c>
      <c r="I64" s="29" t="s">
        <v>47</v>
      </c>
      <c r="J64" s="29" t="s">
        <v>17</v>
      </c>
      <c r="K64" s="29" t="s">
        <v>63</v>
      </c>
      <c r="L64" s="29" t="s">
        <v>30</v>
      </c>
      <c r="M64" s="29" t="s">
        <v>48</v>
      </c>
      <c r="N64" s="29" t="s">
        <v>25</v>
      </c>
      <c r="O64" s="29" t="s">
        <v>19</v>
      </c>
      <c r="P64" s="29" t="s">
        <v>15</v>
      </c>
    </row>
    <row r="65" spans="1:16" x14ac:dyDescent="0.3">
      <c r="A65" s="24" t="str">
        <f t="shared" si="0"/>
        <v>Daniella Sallit</v>
      </c>
      <c r="B65" s="25">
        <f t="shared" si="1"/>
        <v>10</v>
      </c>
      <c r="C65" s="39" t="s">
        <v>191</v>
      </c>
      <c r="D65" s="39" t="s">
        <v>192</v>
      </c>
      <c r="E65" s="40" t="s">
        <v>193</v>
      </c>
      <c r="F65" s="28">
        <v>43321</v>
      </c>
      <c r="G65" s="26" t="s">
        <v>20</v>
      </c>
      <c r="H65" s="26" t="s">
        <v>14</v>
      </c>
      <c r="I65" s="26" t="s">
        <v>66</v>
      </c>
      <c r="J65" s="26" t="s">
        <v>46</v>
      </c>
      <c r="K65" s="26" t="s">
        <v>34</v>
      </c>
      <c r="L65" s="26" t="s">
        <v>29</v>
      </c>
      <c r="M65" s="26" t="s">
        <v>15</v>
      </c>
      <c r="N65" s="26" t="s">
        <v>41</v>
      </c>
      <c r="O65" s="26" t="s">
        <v>21</v>
      </c>
      <c r="P65" s="26" t="s">
        <v>35</v>
      </c>
    </row>
    <row r="66" spans="1:16" x14ac:dyDescent="0.3">
      <c r="A66" s="24" t="str">
        <f t="shared" si="0"/>
        <v>David Jaffe</v>
      </c>
      <c r="B66" s="25">
        <f t="shared" si="1"/>
        <v>10</v>
      </c>
      <c r="C66" s="26" t="s">
        <v>194</v>
      </c>
      <c r="D66" s="26" t="s">
        <v>195</v>
      </c>
      <c r="E66" s="36" t="s">
        <v>196</v>
      </c>
      <c r="F66" s="37"/>
      <c r="G66" s="26" t="s">
        <v>36</v>
      </c>
      <c r="H66" s="26" t="s">
        <v>28</v>
      </c>
      <c r="I66" s="26" t="s">
        <v>49</v>
      </c>
      <c r="J66" s="26" t="s">
        <v>18</v>
      </c>
      <c r="K66" s="26" t="s">
        <v>14</v>
      </c>
      <c r="L66" s="26" t="s">
        <v>66</v>
      </c>
      <c r="M66" s="26" t="s">
        <v>16</v>
      </c>
      <c r="N66" s="26" t="s">
        <v>42</v>
      </c>
      <c r="O66" s="26" t="s">
        <v>25</v>
      </c>
      <c r="P66" s="26" t="s">
        <v>15</v>
      </c>
    </row>
    <row r="67" spans="1:16" x14ac:dyDescent="0.3">
      <c r="A67" s="24" t="str">
        <f t="shared" si="0"/>
        <v>David McNaughton</v>
      </c>
      <c r="B67" s="25">
        <f t="shared" si="1"/>
        <v>10</v>
      </c>
      <c r="C67" s="29" t="s">
        <v>194</v>
      </c>
      <c r="D67" s="29" t="s">
        <v>197</v>
      </c>
      <c r="E67" s="27" t="s">
        <v>198</v>
      </c>
      <c r="F67" s="31">
        <v>45054</v>
      </c>
      <c r="G67" s="29" t="s">
        <v>12</v>
      </c>
      <c r="H67" s="29" t="s">
        <v>14</v>
      </c>
      <c r="I67" s="29" t="s">
        <v>35</v>
      </c>
      <c r="J67" s="29" t="s">
        <v>46</v>
      </c>
      <c r="K67" s="29" t="s">
        <v>42</v>
      </c>
      <c r="L67" s="29" t="s">
        <v>49</v>
      </c>
      <c r="M67" s="29" t="s">
        <v>18</v>
      </c>
      <c r="N67" s="29" t="s">
        <v>58</v>
      </c>
      <c r="O67" s="29" t="s">
        <v>36</v>
      </c>
      <c r="P67" s="29" t="s">
        <v>19</v>
      </c>
    </row>
    <row r="68" spans="1:16" x14ac:dyDescent="0.3">
      <c r="A68" s="24" t="str">
        <f t="shared" si="0"/>
        <v>David McNaughton</v>
      </c>
      <c r="B68" s="25">
        <f t="shared" si="1"/>
        <v>10</v>
      </c>
      <c r="C68" s="30" t="s">
        <v>194</v>
      </c>
      <c r="D68" s="30" t="s">
        <v>197</v>
      </c>
      <c r="E68" s="27" t="s">
        <v>198</v>
      </c>
      <c r="F68" s="28">
        <v>45054</v>
      </c>
      <c r="G68" s="29" t="s">
        <v>12</v>
      </c>
      <c r="H68" s="29" t="s">
        <v>14</v>
      </c>
      <c r="I68" s="29" t="s">
        <v>35</v>
      </c>
      <c r="J68" s="29" t="s">
        <v>46</v>
      </c>
      <c r="K68" s="29" t="s">
        <v>42</v>
      </c>
      <c r="L68" s="29" t="s">
        <v>49</v>
      </c>
      <c r="M68" s="29" t="s">
        <v>18</v>
      </c>
      <c r="N68" s="29" t="s">
        <v>58</v>
      </c>
      <c r="O68" s="29" t="s">
        <v>36</v>
      </c>
      <c r="P68" s="29" t="s">
        <v>19</v>
      </c>
    </row>
    <row r="69" spans="1:16" x14ac:dyDescent="0.3">
      <c r="A69" s="24" t="str">
        <f t="shared" si="0"/>
        <v>David Russell</v>
      </c>
      <c r="B69" s="25">
        <f t="shared" si="1"/>
        <v>10</v>
      </c>
      <c r="C69" s="30" t="s">
        <v>194</v>
      </c>
      <c r="D69" s="30" t="s">
        <v>199</v>
      </c>
      <c r="E69" s="27" t="s">
        <v>200</v>
      </c>
      <c r="F69" s="31">
        <v>45033</v>
      </c>
      <c r="G69" s="26" t="s">
        <v>25</v>
      </c>
      <c r="H69" s="26" t="s">
        <v>36</v>
      </c>
      <c r="I69" s="26" t="s">
        <v>18</v>
      </c>
      <c r="J69" s="26" t="s">
        <v>20</v>
      </c>
      <c r="K69" s="26" t="s">
        <v>66</v>
      </c>
      <c r="L69" s="26" t="s">
        <v>29</v>
      </c>
      <c r="M69" s="26" t="s">
        <v>14</v>
      </c>
      <c r="N69" s="26" t="s">
        <v>15</v>
      </c>
      <c r="O69" s="26" t="s">
        <v>34</v>
      </c>
      <c r="P69" s="26" t="s">
        <v>42</v>
      </c>
    </row>
    <row r="70" spans="1:16" x14ac:dyDescent="0.3">
      <c r="A70" s="24" t="str">
        <f t="shared" si="0"/>
        <v>Debbie Elkind</v>
      </c>
      <c r="B70" s="25">
        <f t="shared" si="1"/>
        <v>10</v>
      </c>
      <c r="C70" s="26" t="s">
        <v>201</v>
      </c>
      <c r="D70" s="26" t="s">
        <v>202</v>
      </c>
      <c r="E70" s="36" t="s">
        <v>203</v>
      </c>
      <c r="F70" s="37"/>
      <c r="G70" s="26" t="s">
        <v>47</v>
      </c>
      <c r="H70" s="26" t="s">
        <v>30</v>
      </c>
      <c r="I70" s="26" t="s">
        <v>49</v>
      </c>
      <c r="J70" s="26" t="s">
        <v>29</v>
      </c>
      <c r="K70" s="26" t="s">
        <v>37</v>
      </c>
      <c r="L70" s="26" t="s">
        <v>28</v>
      </c>
      <c r="M70" s="26" t="s">
        <v>36</v>
      </c>
      <c r="N70" s="26" t="s">
        <v>41</v>
      </c>
      <c r="O70" s="26" t="s">
        <v>18</v>
      </c>
      <c r="P70" s="26" t="s">
        <v>48</v>
      </c>
    </row>
    <row r="71" spans="1:16" x14ac:dyDescent="0.3">
      <c r="A71" s="24" t="str">
        <f t="shared" si="0"/>
        <v>Diana Venardos</v>
      </c>
      <c r="B71" s="25">
        <f t="shared" si="1"/>
        <v>10</v>
      </c>
      <c r="C71" s="26" t="s">
        <v>204</v>
      </c>
      <c r="D71" s="26" t="s">
        <v>205</v>
      </c>
      <c r="E71" s="27" t="s">
        <v>206</v>
      </c>
      <c r="F71" s="31">
        <v>43453</v>
      </c>
      <c r="G71" s="26" t="s">
        <v>12</v>
      </c>
      <c r="H71" s="26" t="s">
        <v>20</v>
      </c>
      <c r="I71" s="26" t="s">
        <v>34</v>
      </c>
      <c r="J71" s="26" t="s">
        <v>27</v>
      </c>
      <c r="K71" s="26" t="s">
        <v>14</v>
      </c>
      <c r="L71" s="26" t="s">
        <v>66</v>
      </c>
      <c r="M71" s="26" t="s">
        <v>35</v>
      </c>
      <c r="N71" s="26" t="s">
        <v>37</v>
      </c>
      <c r="O71" s="26" t="s">
        <v>42</v>
      </c>
      <c r="P71" s="26" t="s">
        <v>18</v>
      </c>
    </row>
    <row r="72" spans="1:16" x14ac:dyDescent="0.3">
      <c r="A72" s="24" t="str">
        <f t="shared" si="0"/>
        <v>Dimple Jean Torralba</v>
      </c>
      <c r="B72" s="25">
        <f t="shared" si="1"/>
        <v>10</v>
      </c>
      <c r="C72" s="29" t="s">
        <v>207</v>
      </c>
      <c r="D72" s="29" t="s">
        <v>208</v>
      </c>
      <c r="E72" s="42"/>
      <c r="F72" s="43">
        <v>45363</v>
      </c>
      <c r="G72" s="29" t="s">
        <v>12</v>
      </c>
      <c r="H72" s="29" t="s">
        <v>28</v>
      </c>
      <c r="I72" s="29" t="s">
        <v>21</v>
      </c>
      <c r="J72" s="29" t="s">
        <v>29</v>
      </c>
      <c r="K72" s="29" t="s">
        <v>18</v>
      </c>
      <c r="L72" s="29" t="s">
        <v>14</v>
      </c>
      <c r="M72" s="29" t="s">
        <v>49</v>
      </c>
      <c r="N72" s="29" t="s">
        <v>34</v>
      </c>
      <c r="O72" s="29" t="s">
        <v>36</v>
      </c>
      <c r="P72" s="29" t="s">
        <v>46</v>
      </c>
    </row>
    <row r="73" spans="1:16" x14ac:dyDescent="0.3">
      <c r="A73" s="24" t="str">
        <f t="shared" si="0"/>
        <v>Doug Brassett</v>
      </c>
      <c r="B73" s="25">
        <f t="shared" si="1"/>
        <v>10</v>
      </c>
      <c r="C73" s="26" t="s">
        <v>209</v>
      </c>
      <c r="D73" s="26" t="s">
        <v>210</v>
      </c>
      <c r="E73" s="27" t="s">
        <v>211</v>
      </c>
      <c r="F73" s="31"/>
      <c r="G73" s="26" t="s">
        <v>63</v>
      </c>
      <c r="H73" s="26" t="s">
        <v>13</v>
      </c>
      <c r="I73" s="26" t="s">
        <v>25</v>
      </c>
      <c r="J73" s="26" t="s">
        <v>46</v>
      </c>
      <c r="K73" s="26" t="s">
        <v>15</v>
      </c>
      <c r="L73" s="26" t="s">
        <v>17</v>
      </c>
      <c r="M73" s="26" t="s">
        <v>30</v>
      </c>
      <c r="N73" s="26" t="s">
        <v>49</v>
      </c>
      <c r="O73" s="26" t="s">
        <v>42</v>
      </c>
      <c r="P73" s="26" t="s">
        <v>21</v>
      </c>
    </row>
    <row r="74" spans="1:16" x14ac:dyDescent="0.3">
      <c r="A74" s="24" t="str">
        <f t="shared" si="0"/>
        <v>Elizabeth Nagy</v>
      </c>
      <c r="B74" s="25">
        <f t="shared" si="1"/>
        <v>10</v>
      </c>
      <c r="C74" s="30" t="s">
        <v>212</v>
      </c>
      <c r="D74" s="30" t="s">
        <v>213</v>
      </c>
      <c r="E74" s="27" t="s">
        <v>214</v>
      </c>
      <c r="F74" s="31">
        <v>45174</v>
      </c>
      <c r="G74" s="29" t="s">
        <v>49</v>
      </c>
      <c r="H74" s="29" t="s">
        <v>47</v>
      </c>
      <c r="I74" s="29" t="s">
        <v>28</v>
      </c>
      <c r="J74" s="29" t="s">
        <v>14</v>
      </c>
      <c r="K74" s="29" t="s">
        <v>37</v>
      </c>
      <c r="L74" s="29" t="s">
        <v>27</v>
      </c>
      <c r="M74" s="29" t="s">
        <v>66</v>
      </c>
      <c r="N74" s="29" t="s">
        <v>63</v>
      </c>
      <c r="O74" s="29" t="s">
        <v>48</v>
      </c>
      <c r="P74" s="29" t="s">
        <v>18</v>
      </c>
    </row>
    <row r="75" spans="1:16" x14ac:dyDescent="0.3">
      <c r="A75" s="24" t="str">
        <f t="shared" ref="A75:A123" si="2">CONCATENATE(C75," ",D75)</f>
        <v>Elizabeth Stanton</v>
      </c>
      <c r="B75" s="25">
        <f t="shared" ref="B75:B123" si="3">IF(COUNTA(G75:AN75)=SUMPRODUCT((G75:AN75&lt;&gt;"")/COUNTIF(G75:AN75,G75:AN75&amp;"")),COUNTA(G75:AN75),"Duplicate")</f>
        <v>10</v>
      </c>
      <c r="C75" s="26" t="s">
        <v>212</v>
      </c>
      <c r="D75" s="26" t="s">
        <v>215</v>
      </c>
      <c r="E75" s="27" t="s">
        <v>216</v>
      </c>
      <c r="F75" s="31">
        <v>44479</v>
      </c>
      <c r="G75" s="29" t="s">
        <v>14</v>
      </c>
      <c r="H75" s="26" t="s">
        <v>18</v>
      </c>
      <c r="I75" s="29" t="s">
        <v>29</v>
      </c>
      <c r="J75" s="29" t="s">
        <v>49</v>
      </c>
      <c r="K75" s="29" t="s">
        <v>15</v>
      </c>
      <c r="L75" s="29" t="s">
        <v>28</v>
      </c>
      <c r="M75" s="29" t="s">
        <v>16</v>
      </c>
      <c r="N75" s="29" t="s">
        <v>30</v>
      </c>
      <c r="O75" s="29" t="s">
        <v>25</v>
      </c>
      <c r="P75" s="29" t="s">
        <v>66</v>
      </c>
    </row>
    <row r="76" spans="1:16" x14ac:dyDescent="0.3">
      <c r="A76" s="24" t="str">
        <f t="shared" si="2"/>
        <v>Emma Koch</v>
      </c>
      <c r="B76" s="25">
        <f t="shared" si="3"/>
        <v>10</v>
      </c>
      <c r="C76" s="26" t="s">
        <v>217</v>
      </c>
      <c r="D76" s="26" t="s">
        <v>218</v>
      </c>
      <c r="E76" s="27" t="s">
        <v>219</v>
      </c>
      <c r="F76" s="31">
        <v>44495</v>
      </c>
      <c r="G76" s="29" t="s">
        <v>29</v>
      </c>
      <c r="H76" s="26" t="s">
        <v>14</v>
      </c>
      <c r="I76" s="29" t="s">
        <v>18</v>
      </c>
      <c r="J76" s="29" t="s">
        <v>30</v>
      </c>
      <c r="K76" s="29" t="s">
        <v>19</v>
      </c>
      <c r="L76" s="29" t="s">
        <v>36</v>
      </c>
      <c r="M76" s="29" t="s">
        <v>25</v>
      </c>
      <c r="N76" s="29" t="s">
        <v>15</v>
      </c>
      <c r="O76" s="29" t="s">
        <v>47</v>
      </c>
      <c r="P76" s="29" t="s">
        <v>58</v>
      </c>
    </row>
    <row r="77" spans="1:16" x14ac:dyDescent="0.3">
      <c r="A77" s="24" t="str">
        <f t="shared" si="2"/>
        <v>Fhevy Quijano</v>
      </c>
      <c r="B77" s="25">
        <f t="shared" si="3"/>
        <v>10</v>
      </c>
      <c r="C77" s="26" t="s">
        <v>220</v>
      </c>
      <c r="D77" s="26" t="s">
        <v>221</v>
      </c>
      <c r="E77" s="36" t="s">
        <v>222</v>
      </c>
      <c r="F77" s="37">
        <v>44599</v>
      </c>
      <c r="G77" s="26" t="s">
        <v>54</v>
      </c>
      <c r="H77" s="29" t="s">
        <v>46</v>
      </c>
      <c r="I77" s="29" t="s">
        <v>29</v>
      </c>
      <c r="J77" s="29" t="s">
        <v>18</v>
      </c>
      <c r="K77" s="26" t="s">
        <v>25</v>
      </c>
      <c r="L77" s="26" t="s">
        <v>42</v>
      </c>
      <c r="M77" s="26" t="s">
        <v>37</v>
      </c>
      <c r="N77" s="26" t="s">
        <v>17</v>
      </c>
      <c r="O77" s="26" t="s">
        <v>12</v>
      </c>
      <c r="P77" s="26" t="s">
        <v>26</v>
      </c>
    </row>
    <row r="78" spans="1:16" x14ac:dyDescent="0.3">
      <c r="A78" s="24" t="str">
        <f t="shared" si="2"/>
        <v>Filimon Filippou</v>
      </c>
      <c r="B78" s="25">
        <f t="shared" si="3"/>
        <v>10</v>
      </c>
      <c r="C78" s="29" t="s">
        <v>223</v>
      </c>
      <c r="D78" s="29" t="s">
        <v>224</v>
      </c>
      <c r="E78" s="42" t="s">
        <v>225</v>
      </c>
      <c r="F78" s="43"/>
      <c r="G78" s="26" t="s">
        <v>58</v>
      </c>
      <c r="H78" s="26" t="s">
        <v>42</v>
      </c>
      <c r="I78" s="26" t="s">
        <v>48</v>
      </c>
      <c r="J78" s="26" t="s">
        <v>14</v>
      </c>
      <c r="K78" s="26" t="s">
        <v>50</v>
      </c>
      <c r="L78" s="26" t="s">
        <v>36</v>
      </c>
      <c r="M78" s="26" t="s">
        <v>29</v>
      </c>
      <c r="N78" s="26" t="s">
        <v>46</v>
      </c>
      <c r="O78" s="26" t="s">
        <v>19</v>
      </c>
      <c r="P78" s="26" t="s">
        <v>16</v>
      </c>
    </row>
    <row r="79" spans="1:16" x14ac:dyDescent="0.3">
      <c r="A79" s="24" t="str">
        <f t="shared" si="2"/>
        <v>Fiona Rigney</v>
      </c>
      <c r="B79" s="25">
        <f t="shared" si="3"/>
        <v>10</v>
      </c>
      <c r="C79" s="30" t="s">
        <v>226</v>
      </c>
      <c r="D79" s="30" t="s">
        <v>227</v>
      </c>
      <c r="E79" s="27" t="s">
        <v>228</v>
      </c>
      <c r="F79" s="31">
        <v>45033</v>
      </c>
      <c r="G79" s="26" t="s">
        <v>47</v>
      </c>
      <c r="H79" s="26" t="s">
        <v>12</v>
      </c>
      <c r="I79" s="26" t="s">
        <v>27</v>
      </c>
      <c r="J79" s="26" t="s">
        <v>30</v>
      </c>
      <c r="K79" s="26" t="s">
        <v>28</v>
      </c>
      <c r="L79" s="26" t="s">
        <v>63</v>
      </c>
      <c r="M79" s="26" t="s">
        <v>34</v>
      </c>
      <c r="N79" s="26" t="s">
        <v>95</v>
      </c>
      <c r="O79" s="26" t="s">
        <v>18</v>
      </c>
      <c r="P79" s="26" t="s">
        <v>14</v>
      </c>
    </row>
    <row r="80" spans="1:16" x14ac:dyDescent="0.3">
      <c r="A80" s="24" t="str">
        <f t="shared" si="2"/>
        <v>Fiona Rigney</v>
      </c>
      <c r="B80" s="25">
        <f t="shared" si="3"/>
        <v>10</v>
      </c>
      <c r="C80" s="30" t="s">
        <v>226</v>
      </c>
      <c r="D80" s="30" t="s">
        <v>227</v>
      </c>
      <c r="E80" s="27" t="s">
        <v>228</v>
      </c>
      <c r="F80" s="28" t="s">
        <v>229</v>
      </c>
      <c r="G80" s="29" t="s">
        <v>47</v>
      </c>
      <c r="H80" s="29" t="s">
        <v>12</v>
      </c>
      <c r="I80" s="29" t="s">
        <v>27</v>
      </c>
      <c r="J80" s="29" t="s">
        <v>30</v>
      </c>
      <c r="K80" s="29" t="s">
        <v>28</v>
      </c>
      <c r="L80" s="29" t="s">
        <v>63</v>
      </c>
      <c r="M80" s="29" t="s">
        <v>34</v>
      </c>
      <c r="N80" s="29" t="s">
        <v>95</v>
      </c>
      <c r="O80" s="29" t="s">
        <v>18</v>
      </c>
      <c r="P80" s="29" t="s">
        <v>14</v>
      </c>
    </row>
    <row r="81" spans="1:16" x14ac:dyDescent="0.3">
      <c r="A81" s="24" t="str">
        <f t="shared" si="2"/>
        <v>Gary Oliver</v>
      </c>
      <c r="B81" s="25">
        <f t="shared" si="3"/>
        <v>10</v>
      </c>
      <c r="C81" s="30" t="s">
        <v>230</v>
      </c>
      <c r="D81" s="30" t="s">
        <v>231</v>
      </c>
      <c r="E81" s="27" t="s">
        <v>232</v>
      </c>
      <c r="F81" s="31">
        <v>45033</v>
      </c>
      <c r="G81" s="26" t="s">
        <v>40</v>
      </c>
      <c r="H81" s="26" t="s">
        <v>48</v>
      </c>
      <c r="I81" s="26" t="s">
        <v>66</v>
      </c>
      <c r="J81" s="26" t="s">
        <v>37</v>
      </c>
      <c r="K81" s="26" t="s">
        <v>29</v>
      </c>
      <c r="L81" s="26" t="s">
        <v>18</v>
      </c>
      <c r="M81" s="26" t="s">
        <v>42</v>
      </c>
      <c r="N81" s="26" t="s">
        <v>13</v>
      </c>
      <c r="O81" s="26" t="s">
        <v>41</v>
      </c>
      <c r="P81" s="26" t="s">
        <v>30</v>
      </c>
    </row>
    <row r="82" spans="1:16" x14ac:dyDescent="0.3">
      <c r="A82" s="24" t="str">
        <f t="shared" si="2"/>
        <v>Gary Oliver</v>
      </c>
      <c r="B82" s="25">
        <f t="shared" si="3"/>
        <v>10</v>
      </c>
      <c r="C82" s="29" t="s">
        <v>230</v>
      </c>
      <c r="D82" s="29" t="s">
        <v>231</v>
      </c>
      <c r="E82" s="42" t="s">
        <v>232</v>
      </c>
      <c r="F82" s="43" t="s">
        <v>233</v>
      </c>
      <c r="G82" s="29" t="s">
        <v>40</v>
      </c>
      <c r="H82" s="29" t="s">
        <v>48</v>
      </c>
      <c r="I82" s="29" t="s">
        <v>66</v>
      </c>
      <c r="J82" s="29" t="s">
        <v>37</v>
      </c>
      <c r="K82" s="29" t="s">
        <v>29</v>
      </c>
      <c r="L82" s="29" t="s">
        <v>18</v>
      </c>
      <c r="M82" s="29" t="s">
        <v>42</v>
      </c>
      <c r="N82" s="29" t="s">
        <v>13</v>
      </c>
      <c r="O82" s="29" t="s">
        <v>41</v>
      </c>
      <c r="P82" s="29" t="s">
        <v>30</v>
      </c>
    </row>
    <row r="83" spans="1:16" x14ac:dyDescent="0.3">
      <c r="A83" s="24" t="str">
        <f t="shared" si="2"/>
        <v>Georgina Kilfoil</v>
      </c>
      <c r="B83" s="25">
        <f t="shared" si="3"/>
        <v>10</v>
      </c>
      <c r="C83" s="39" t="s">
        <v>234</v>
      </c>
      <c r="D83" s="39" t="s">
        <v>235</v>
      </c>
      <c r="E83" s="42" t="s">
        <v>236</v>
      </c>
      <c r="F83" s="43">
        <v>43481</v>
      </c>
      <c r="G83" s="26" t="s">
        <v>15</v>
      </c>
      <c r="H83" s="26" t="s">
        <v>12</v>
      </c>
      <c r="I83" s="26" t="s">
        <v>66</v>
      </c>
      <c r="J83" s="26" t="s">
        <v>27</v>
      </c>
      <c r="K83" s="26" t="s">
        <v>13</v>
      </c>
      <c r="L83" s="26" t="s">
        <v>25</v>
      </c>
      <c r="M83" s="26" t="s">
        <v>30</v>
      </c>
      <c r="N83" s="26" t="s">
        <v>19</v>
      </c>
      <c r="O83" s="26" t="s">
        <v>21</v>
      </c>
      <c r="P83" s="26" t="s">
        <v>14</v>
      </c>
    </row>
    <row r="84" spans="1:16" x14ac:dyDescent="0.3">
      <c r="A84" s="24" t="str">
        <f t="shared" si="2"/>
        <v>Glendra Stubbs</v>
      </c>
      <c r="B84" s="25">
        <f t="shared" si="3"/>
        <v>10</v>
      </c>
      <c r="C84" s="30" t="s">
        <v>237</v>
      </c>
      <c r="D84" s="30" t="s">
        <v>238</v>
      </c>
      <c r="E84" s="27" t="s">
        <v>239</v>
      </c>
      <c r="F84" s="31" t="s">
        <v>240</v>
      </c>
      <c r="G84" s="29" t="s">
        <v>16</v>
      </c>
      <c r="H84" s="29" t="s">
        <v>28</v>
      </c>
      <c r="I84" s="29" t="s">
        <v>34</v>
      </c>
      <c r="J84" s="29" t="s">
        <v>35</v>
      </c>
      <c r="K84" s="29" t="s">
        <v>66</v>
      </c>
      <c r="L84" s="29" t="s">
        <v>18</v>
      </c>
      <c r="M84" s="29" t="s">
        <v>15</v>
      </c>
      <c r="N84" s="29" t="s">
        <v>58</v>
      </c>
      <c r="O84" s="29" t="s">
        <v>27</v>
      </c>
      <c r="P84" s="29" t="s">
        <v>37</v>
      </c>
    </row>
    <row r="85" spans="1:16" x14ac:dyDescent="0.3">
      <c r="A85" s="24" t="str">
        <f t="shared" si="2"/>
        <v>Grace Dong</v>
      </c>
      <c r="B85" s="25">
        <f t="shared" si="3"/>
        <v>10</v>
      </c>
      <c r="C85" s="39" t="s">
        <v>241</v>
      </c>
      <c r="D85" s="39" t="s">
        <v>242</v>
      </c>
      <c r="E85" s="40" t="s">
        <v>243</v>
      </c>
      <c r="F85" s="28">
        <v>43480</v>
      </c>
      <c r="G85" s="26" t="s">
        <v>17</v>
      </c>
      <c r="H85" s="26" t="s">
        <v>63</v>
      </c>
      <c r="I85" s="26" t="s">
        <v>14</v>
      </c>
      <c r="J85" s="26" t="s">
        <v>18</v>
      </c>
      <c r="K85" s="26" t="s">
        <v>15</v>
      </c>
      <c r="L85" s="26" t="s">
        <v>37</v>
      </c>
      <c r="M85" s="26" t="s">
        <v>25</v>
      </c>
      <c r="N85" s="26" t="s">
        <v>41</v>
      </c>
      <c r="O85" s="26" t="s">
        <v>46</v>
      </c>
      <c r="P85" s="26" t="s">
        <v>66</v>
      </c>
    </row>
    <row r="86" spans="1:16" x14ac:dyDescent="0.3">
      <c r="A86" s="24" t="str">
        <f t="shared" si="2"/>
        <v>Grace Gilmore</v>
      </c>
      <c r="B86" s="25">
        <f t="shared" si="3"/>
        <v>10</v>
      </c>
      <c r="C86" s="39" t="s">
        <v>241</v>
      </c>
      <c r="D86" s="39" t="s">
        <v>244</v>
      </c>
      <c r="E86" s="40" t="s">
        <v>245</v>
      </c>
      <c r="F86" s="28">
        <v>43501</v>
      </c>
      <c r="G86" s="26" t="s">
        <v>35</v>
      </c>
      <c r="H86" s="26" t="s">
        <v>16</v>
      </c>
      <c r="I86" s="26" t="s">
        <v>34</v>
      </c>
      <c r="J86" s="26" t="s">
        <v>73</v>
      </c>
      <c r="K86" s="26" t="s">
        <v>58</v>
      </c>
      <c r="L86" s="26" t="s">
        <v>54</v>
      </c>
      <c r="M86" s="26" t="s">
        <v>47</v>
      </c>
      <c r="N86" s="26" t="s">
        <v>20</v>
      </c>
      <c r="O86" s="26" t="s">
        <v>63</v>
      </c>
      <c r="P86" s="26" t="s">
        <v>66</v>
      </c>
    </row>
    <row r="87" spans="1:16" x14ac:dyDescent="0.3">
      <c r="A87" s="24" t="str">
        <f t="shared" si="2"/>
        <v>Hannah Blommestein</v>
      </c>
      <c r="B87" s="25">
        <f t="shared" si="3"/>
        <v>10</v>
      </c>
      <c r="C87" s="30" t="s">
        <v>246</v>
      </c>
      <c r="D87" s="30" t="s">
        <v>247</v>
      </c>
      <c r="E87" s="27" t="s">
        <v>248</v>
      </c>
      <c r="F87" s="31" t="s">
        <v>249</v>
      </c>
      <c r="G87" s="29" t="s">
        <v>12</v>
      </c>
      <c r="H87" s="29" t="s">
        <v>20</v>
      </c>
      <c r="I87" s="29" t="s">
        <v>34</v>
      </c>
      <c r="J87" s="29" t="s">
        <v>14</v>
      </c>
      <c r="K87" s="29" t="s">
        <v>63</v>
      </c>
      <c r="L87" s="29" t="s">
        <v>37</v>
      </c>
      <c r="M87" s="29" t="s">
        <v>47</v>
      </c>
      <c r="N87" s="29" t="s">
        <v>15</v>
      </c>
      <c r="O87" s="29" t="s">
        <v>42</v>
      </c>
      <c r="P87" s="29" t="s">
        <v>30</v>
      </c>
    </row>
    <row r="88" spans="1:16" x14ac:dyDescent="0.3">
      <c r="A88" s="24" t="str">
        <f t="shared" si="2"/>
        <v>Hannah Stevenson</v>
      </c>
      <c r="B88" s="25">
        <f t="shared" si="3"/>
        <v>10</v>
      </c>
      <c r="C88" s="39" t="s">
        <v>246</v>
      </c>
      <c r="D88" s="39" t="s">
        <v>250</v>
      </c>
      <c r="E88" s="27" t="s">
        <v>251</v>
      </c>
      <c r="F88" s="28">
        <v>43542</v>
      </c>
      <c r="G88" s="26" t="s">
        <v>46</v>
      </c>
      <c r="H88" s="26" t="s">
        <v>42</v>
      </c>
      <c r="I88" s="26" t="s">
        <v>34</v>
      </c>
      <c r="J88" s="26" t="s">
        <v>47</v>
      </c>
      <c r="K88" s="26" t="s">
        <v>58</v>
      </c>
      <c r="L88" s="26" t="s">
        <v>28</v>
      </c>
      <c r="M88" s="26" t="s">
        <v>35</v>
      </c>
      <c r="N88" s="26" t="s">
        <v>16</v>
      </c>
      <c r="O88" s="26" t="s">
        <v>49</v>
      </c>
      <c r="P88" s="26" t="s">
        <v>66</v>
      </c>
    </row>
    <row r="89" spans="1:16" x14ac:dyDescent="0.3">
      <c r="A89" s="24" t="str">
        <f t="shared" si="2"/>
        <v>Harriet Templeton-Knight</v>
      </c>
      <c r="B89" s="25">
        <f t="shared" si="3"/>
        <v>10</v>
      </c>
      <c r="C89" s="30" t="s">
        <v>252</v>
      </c>
      <c r="D89" s="30" t="s">
        <v>253</v>
      </c>
      <c r="E89" s="27" t="s">
        <v>254</v>
      </c>
      <c r="F89" s="28" t="s">
        <v>139</v>
      </c>
      <c r="G89" s="29" t="s">
        <v>49</v>
      </c>
      <c r="H89" s="29" t="s">
        <v>47</v>
      </c>
      <c r="I89" s="29" t="s">
        <v>95</v>
      </c>
      <c r="J89" s="29" t="s">
        <v>29</v>
      </c>
      <c r="K89" s="29" t="s">
        <v>12</v>
      </c>
      <c r="L89" s="29" t="s">
        <v>16</v>
      </c>
      <c r="M89" s="29" t="s">
        <v>27</v>
      </c>
      <c r="N89" s="29" t="s">
        <v>42</v>
      </c>
      <c r="O89" s="29" t="s">
        <v>14</v>
      </c>
      <c r="P89" s="29" t="s">
        <v>30</v>
      </c>
    </row>
    <row r="90" spans="1:16" x14ac:dyDescent="0.3">
      <c r="A90" s="24" t="str">
        <f t="shared" si="2"/>
        <v>Hazel Dusk</v>
      </c>
      <c r="B90" s="25">
        <f t="shared" si="3"/>
        <v>10</v>
      </c>
      <c r="C90" s="26" t="s">
        <v>255</v>
      </c>
      <c r="D90" s="26" t="s">
        <v>256</v>
      </c>
      <c r="E90" s="36" t="s">
        <v>257</v>
      </c>
      <c r="F90" s="37">
        <v>44360</v>
      </c>
      <c r="G90" s="26" t="s">
        <v>46</v>
      </c>
      <c r="H90" s="26" t="s">
        <v>29</v>
      </c>
      <c r="I90" s="26" t="s">
        <v>14</v>
      </c>
      <c r="J90" s="26" t="s">
        <v>28</v>
      </c>
      <c r="K90" s="26" t="s">
        <v>49</v>
      </c>
      <c r="L90" s="26" t="s">
        <v>25</v>
      </c>
      <c r="M90" s="26" t="s">
        <v>42</v>
      </c>
      <c r="N90" s="26" t="s">
        <v>16</v>
      </c>
      <c r="O90" s="26" t="s">
        <v>18</v>
      </c>
      <c r="P90" s="26" t="s">
        <v>15</v>
      </c>
    </row>
    <row r="91" spans="1:16" x14ac:dyDescent="0.3">
      <c r="A91" s="24" t="str">
        <f t="shared" si="2"/>
        <v>Heidi Seal</v>
      </c>
      <c r="B91" s="25">
        <f t="shared" si="3"/>
        <v>10</v>
      </c>
      <c r="C91" s="26" t="s">
        <v>258</v>
      </c>
      <c r="D91" s="26" t="s">
        <v>259</v>
      </c>
      <c r="E91" s="27" t="s">
        <v>260</v>
      </c>
      <c r="F91" s="31">
        <v>44617</v>
      </c>
      <c r="G91" s="26" t="s">
        <v>25</v>
      </c>
      <c r="H91" s="29" t="s">
        <v>21</v>
      </c>
      <c r="I91" s="29" t="s">
        <v>12</v>
      </c>
      <c r="J91" s="29" t="s">
        <v>14</v>
      </c>
      <c r="K91" s="29" t="s">
        <v>26</v>
      </c>
      <c r="L91" s="29" t="s">
        <v>41</v>
      </c>
      <c r="M91" s="29" t="s">
        <v>15</v>
      </c>
      <c r="N91" s="29" t="s">
        <v>18</v>
      </c>
      <c r="O91" s="29" t="s">
        <v>58</v>
      </c>
      <c r="P91" s="29" t="s">
        <v>46</v>
      </c>
    </row>
    <row r="92" spans="1:16" x14ac:dyDescent="0.3">
      <c r="A92" s="24" t="str">
        <f t="shared" si="2"/>
        <v>Ian McLeod</v>
      </c>
      <c r="B92" s="25">
        <f t="shared" si="3"/>
        <v>10</v>
      </c>
      <c r="C92" s="39" t="s">
        <v>261</v>
      </c>
      <c r="D92" s="39" t="s">
        <v>104</v>
      </c>
      <c r="E92" s="42"/>
      <c r="F92" s="28"/>
      <c r="G92" s="29" t="s">
        <v>14</v>
      </c>
      <c r="H92" s="29" t="s">
        <v>28</v>
      </c>
      <c r="I92" s="29" t="s">
        <v>36</v>
      </c>
      <c r="J92" s="29" t="s">
        <v>29</v>
      </c>
      <c r="K92" s="29" t="s">
        <v>25</v>
      </c>
      <c r="L92" s="29" t="s">
        <v>66</v>
      </c>
      <c r="M92" s="29" t="s">
        <v>30</v>
      </c>
      <c r="N92" s="29" t="s">
        <v>42</v>
      </c>
      <c r="O92" s="29" t="s">
        <v>27</v>
      </c>
      <c r="P92" s="29" t="s">
        <v>46</v>
      </c>
    </row>
    <row r="93" spans="1:16" x14ac:dyDescent="0.3">
      <c r="A93" s="24" t="str">
        <f t="shared" si="2"/>
        <v>Isaac Searant</v>
      </c>
      <c r="B93" s="25">
        <f t="shared" si="3"/>
        <v>10</v>
      </c>
      <c r="C93" s="30" t="s">
        <v>262</v>
      </c>
      <c r="D93" s="30" t="s">
        <v>263</v>
      </c>
      <c r="E93" s="27" t="s">
        <v>264</v>
      </c>
      <c r="F93" s="28">
        <v>45085</v>
      </c>
      <c r="G93" s="29" t="s">
        <v>27</v>
      </c>
      <c r="H93" s="29" t="s">
        <v>37</v>
      </c>
      <c r="I93" s="29" t="s">
        <v>63</v>
      </c>
      <c r="J93" s="29" t="s">
        <v>54</v>
      </c>
      <c r="K93" s="29" t="s">
        <v>66</v>
      </c>
      <c r="L93" s="29" t="s">
        <v>30</v>
      </c>
      <c r="M93" s="29" t="s">
        <v>49</v>
      </c>
      <c r="N93" s="29" t="s">
        <v>47</v>
      </c>
      <c r="O93" s="29" t="s">
        <v>17</v>
      </c>
      <c r="P93" s="29" t="s">
        <v>48</v>
      </c>
    </row>
    <row r="94" spans="1:16" x14ac:dyDescent="0.3">
      <c r="A94" s="24" t="str">
        <f t="shared" si="2"/>
        <v>Isabel Amundsen</v>
      </c>
      <c r="B94" s="25">
        <f t="shared" si="3"/>
        <v>5</v>
      </c>
      <c r="C94" s="39" t="s">
        <v>265</v>
      </c>
      <c r="D94" s="39" t="s">
        <v>266</v>
      </c>
      <c r="E94" s="27"/>
      <c r="F94" s="28">
        <v>43306</v>
      </c>
      <c r="G94" s="26" t="s">
        <v>42</v>
      </c>
      <c r="H94" s="26" t="s">
        <v>27</v>
      </c>
      <c r="I94" s="26" t="s">
        <v>29</v>
      </c>
      <c r="J94" s="26" t="s">
        <v>19</v>
      </c>
      <c r="K94" s="26" t="s">
        <v>35</v>
      </c>
      <c r="L94" s="26"/>
      <c r="M94" s="26"/>
      <c r="N94" s="26"/>
      <c r="O94" s="26"/>
      <c r="P94" s="26"/>
    </row>
    <row r="95" spans="1:16" x14ac:dyDescent="0.3">
      <c r="A95" s="24" t="str">
        <f t="shared" si="2"/>
        <v>Jacinta Skjellerup-Wakefield</v>
      </c>
      <c r="B95" s="25">
        <f t="shared" si="3"/>
        <v>10</v>
      </c>
      <c r="C95" s="29" t="s">
        <v>267</v>
      </c>
      <c r="D95" s="29" t="s">
        <v>268</v>
      </c>
      <c r="E95" s="42" t="s">
        <v>269</v>
      </c>
      <c r="F95" s="43" t="s">
        <v>270</v>
      </c>
      <c r="G95" s="29" t="s">
        <v>46</v>
      </c>
      <c r="H95" s="29" t="s">
        <v>58</v>
      </c>
      <c r="I95" s="29" t="s">
        <v>28</v>
      </c>
      <c r="J95" s="29" t="s">
        <v>18</v>
      </c>
      <c r="K95" s="29" t="s">
        <v>41</v>
      </c>
      <c r="L95" s="29" t="s">
        <v>25</v>
      </c>
      <c r="M95" s="29" t="s">
        <v>29</v>
      </c>
      <c r="N95" s="29" t="s">
        <v>20</v>
      </c>
      <c r="O95" s="29" t="s">
        <v>30</v>
      </c>
      <c r="P95" s="29" t="s">
        <v>37</v>
      </c>
    </row>
    <row r="96" spans="1:16" x14ac:dyDescent="0.3">
      <c r="A96" s="24" t="str">
        <f t="shared" si="2"/>
        <v>Jack Cowled</v>
      </c>
      <c r="B96" s="25">
        <f t="shared" si="3"/>
        <v>10</v>
      </c>
      <c r="C96" s="38" t="s">
        <v>271</v>
      </c>
      <c r="D96" s="38" t="s">
        <v>272</v>
      </c>
      <c r="E96" s="34" t="s">
        <v>273</v>
      </c>
      <c r="F96" s="35">
        <v>45938</v>
      </c>
      <c r="G96" s="34" t="s">
        <v>16</v>
      </c>
      <c r="H96" s="34" t="s">
        <v>66</v>
      </c>
      <c r="I96" s="34" t="s">
        <v>58</v>
      </c>
      <c r="J96" s="34" t="s">
        <v>35</v>
      </c>
      <c r="K96" s="34" t="s">
        <v>14</v>
      </c>
      <c r="L96" s="34" t="s">
        <v>42</v>
      </c>
      <c r="M96" s="34" t="s">
        <v>29</v>
      </c>
      <c r="N96" s="34" t="s">
        <v>21</v>
      </c>
      <c r="O96" s="34" t="s">
        <v>37</v>
      </c>
      <c r="P96" s="34" t="s">
        <v>20</v>
      </c>
    </row>
    <row r="97" spans="1:16" x14ac:dyDescent="0.3">
      <c r="A97" s="24" t="str">
        <f t="shared" si="2"/>
        <v>Jacqueline Havelka</v>
      </c>
      <c r="B97" s="25">
        <f t="shared" si="3"/>
        <v>5</v>
      </c>
      <c r="C97" s="26" t="s">
        <v>274</v>
      </c>
      <c r="D97" s="26" t="s">
        <v>275</v>
      </c>
      <c r="E97" s="27" t="s">
        <v>276</v>
      </c>
      <c r="F97" s="31">
        <v>42999</v>
      </c>
      <c r="G97" s="26" t="s">
        <v>47</v>
      </c>
      <c r="H97" s="26" t="s">
        <v>46</v>
      </c>
      <c r="I97" s="26" t="s">
        <v>54</v>
      </c>
      <c r="J97" s="26" t="s">
        <v>58</v>
      </c>
      <c r="K97" s="26" t="s">
        <v>66</v>
      </c>
      <c r="L97" s="26"/>
      <c r="M97" s="26"/>
      <c r="N97" s="26"/>
      <c r="O97" s="26"/>
      <c r="P97" s="26"/>
    </row>
    <row r="98" spans="1:16" x14ac:dyDescent="0.3">
      <c r="A98" s="24" t="str">
        <f t="shared" si="2"/>
        <v>Jacqui Bundy</v>
      </c>
      <c r="B98" s="25">
        <f t="shared" si="3"/>
        <v>10</v>
      </c>
      <c r="C98" s="26" t="s">
        <v>277</v>
      </c>
      <c r="D98" s="26" t="s">
        <v>278</v>
      </c>
      <c r="E98" s="36" t="s">
        <v>279</v>
      </c>
      <c r="F98" s="37"/>
      <c r="G98" s="26" t="s">
        <v>30</v>
      </c>
      <c r="H98" s="26" t="s">
        <v>49</v>
      </c>
      <c r="I98" s="26" t="s">
        <v>12</v>
      </c>
      <c r="J98" s="26" t="s">
        <v>18</v>
      </c>
      <c r="K98" s="26" t="s">
        <v>14</v>
      </c>
      <c r="L98" s="26" t="s">
        <v>47</v>
      </c>
      <c r="M98" s="26" t="s">
        <v>15</v>
      </c>
      <c r="N98" s="26" t="s">
        <v>25</v>
      </c>
      <c r="O98" s="26" t="s">
        <v>37</v>
      </c>
      <c r="P98" s="26" t="s">
        <v>48</v>
      </c>
    </row>
    <row r="99" spans="1:16" x14ac:dyDescent="0.3">
      <c r="A99" s="24" t="str">
        <f t="shared" si="2"/>
        <v>Jacquie McGee</v>
      </c>
      <c r="B99" s="25">
        <f t="shared" si="3"/>
        <v>10</v>
      </c>
      <c r="C99" s="30" t="s">
        <v>280</v>
      </c>
      <c r="D99" s="30" t="s">
        <v>281</v>
      </c>
      <c r="E99" s="27" t="s">
        <v>282</v>
      </c>
      <c r="F99" s="31">
        <v>45075</v>
      </c>
      <c r="G99" s="29" t="s">
        <v>12</v>
      </c>
      <c r="H99" s="29" t="s">
        <v>18</v>
      </c>
      <c r="I99" s="29" t="s">
        <v>47</v>
      </c>
      <c r="J99" s="29" t="s">
        <v>15</v>
      </c>
      <c r="K99" s="29" t="s">
        <v>63</v>
      </c>
      <c r="L99" s="29" t="s">
        <v>49</v>
      </c>
      <c r="M99" s="29" t="s">
        <v>37</v>
      </c>
      <c r="N99" s="29" t="s">
        <v>14</v>
      </c>
      <c r="O99" s="29" t="s">
        <v>28</v>
      </c>
      <c r="P99" s="29" t="s">
        <v>66</v>
      </c>
    </row>
    <row r="100" spans="1:16" x14ac:dyDescent="0.3">
      <c r="A100" s="24" t="str">
        <f t="shared" si="2"/>
        <v>Jade Johnson</v>
      </c>
      <c r="B100" s="25">
        <f t="shared" si="3"/>
        <v>10</v>
      </c>
      <c r="C100" s="32" t="s">
        <v>283</v>
      </c>
      <c r="D100" s="32" t="s">
        <v>284</v>
      </c>
      <c r="E100" s="33" t="s">
        <v>285</v>
      </c>
      <c r="F100" s="46">
        <v>45054</v>
      </c>
      <c r="G100" s="32" t="s">
        <v>49</v>
      </c>
      <c r="H100" s="32" t="s">
        <v>29</v>
      </c>
      <c r="I100" s="32" t="s">
        <v>58</v>
      </c>
      <c r="J100" s="32" t="s">
        <v>66</v>
      </c>
      <c r="K100" s="32" t="s">
        <v>16</v>
      </c>
      <c r="L100" s="32" t="s">
        <v>19</v>
      </c>
      <c r="M100" s="32" t="s">
        <v>30</v>
      </c>
      <c r="N100" s="32" t="s">
        <v>41</v>
      </c>
      <c r="O100" s="32" t="s">
        <v>13</v>
      </c>
      <c r="P100" s="32" t="s">
        <v>25</v>
      </c>
    </row>
    <row r="101" spans="1:16" x14ac:dyDescent="0.3">
      <c r="A101" s="24" t="str">
        <f t="shared" si="2"/>
        <v>Jade Johnson</v>
      </c>
      <c r="B101" s="25">
        <f t="shared" si="3"/>
        <v>10</v>
      </c>
      <c r="C101" s="30" t="s">
        <v>283</v>
      </c>
      <c r="D101" s="30" t="s">
        <v>284</v>
      </c>
      <c r="E101" s="27" t="s">
        <v>285</v>
      </c>
      <c r="F101" s="31" t="s">
        <v>286</v>
      </c>
      <c r="G101" s="29" t="s">
        <v>49</v>
      </c>
      <c r="H101" s="29" t="s">
        <v>29</v>
      </c>
      <c r="I101" s="29" t="s">
        <v>58</v>
      </c>
      <c r="J101" s="29" t="s">
        <v>66</v>
      </c>
      <c r="K101" s="29" t="s">
        <v>16</v>
      </c>
      <c r="L101" s="29" t="s">
        <v>19</v>
      </c>
      <c r="M101" s="29" t="s">
        <v>30</v>
      </c>
      <c r="N101" s="29" t="s">
        <v>41</v>
      </c>
      <c r="O101" s="29" t="s">
        <v>13</v>
      </c>
      <c r="P101" s="29" t="s">
        <v>25</v>
      </c>
    </row>
    <row r="102" spans="1:16" x14ac:dyDescent="0.3">
      <c r="A102" s="24" t="str">
        <f t="shared" si="2"/>
        <v>Jan Wolffram</v>
      </c>
      <c r="B102" s="25">
        <f t="shared" si="3"/>
        <v>5</v>
      </c>
      <c r="C102" s="26" t="s">
        <v>287</v>
      </c>
      <c r="D102" s="26" t="s">
        <v>288</v>
      </c>
      <c r="E102" s="27" t="s">
        <v>289</v>
      </c>
      <c r="F102" s="28">
        <v>43031</v>
      </c>
      <c r="G102" s="26" t="s">
        <v>12</v>
      </c>
      <c r="H102" s="26" t="s">
        <v>25</v>
      </c>
      <c r="I102" s="26" t="s">
        <v>73</v>
      </c>
      <c r="J102" s="26" t="s">
        <v>13</v>
      </c>
      <c r="K102" s="26" t="s">
        <v>29</v>
      </c>
      <c r="L102" s="26"/>
      <c r="M102" s="26"/>
      <c r="N102" s="26"/>
      <c r="O102" s="26"/>
      <c r="P102" s="26"/>
    </row>
    <row r="103" spans="1:16" x14ac:dyDescent="0.3">
      <c r="A103" s="24" t="str">
        <f t="shared" si="2"/>
        <v>Jane Chambers</v>
      </c>
      <c r="B103" s="25">
        <f t="shared" si="3"/>
        <v>10</v>
      </c>
      <c r="C103" s="26" t="s">
        <v>290</v>
      </c>
      <c r="D103" s="26" t="s">
        <v>291</v>
      </c>
      <c r="E103" s="36" t="s">
        <v>292</v>
      </c>
      <c r="F103" s="37"/>
      <c r="G103" s="26" t="s">
        <v>42</v>
      </c>
      <c r="H103" s="26" t="s">
        <v>27</v>
      </c>
      <c r="I103" s="26" t="s">
        <v>36</v>
      </c>
      <c r="J103" s="26" t="s">
        <v>20</v>
      </c>
      <c r="K103" s="26" t="s">
        <v>58</v>
      </c>
      <c r="L103" s="26" t="s">
        <v>54</v>
      </c>
      <c r="M103" s="26" t="s">
        <v>34</v>
      </c>
      <c r="N103" s="26" t="s">
        <v>12</v>
      </c>
      <c r="O103" s="26" t="s">
        <v>18</v>
      </c>
      <c r="P103" s="26" t="s">
        <v>50</v>
      </c>
    </row>
    <row r="104" spans="1:16" x14ac:dyDescent="0.3">
      <c r="A104" s="24" t="str">
        <f t="shared" si="2"/>
        <v>Jane Jaworski</v>
      </c>
      <c r="B104" s="25">
        <f t="shared" si="3"/>
        <v>10</v>
      </c>
      <c r="C104" s="26" t="s">
        <v>290</v>
      </c>
      <c r="D104" s="26" t="s">
        <v>293</v>
      </c>
      <c r="E104" s="27" t="s">
        <v>294</v>
      </c>
      <c r="F104" s="28"/>
      <c r="G104" s="26" t="s">
        <v>49</v>
      </c>
      <c r="H104" s="26" t="s">
        <v>30</v>
      </c>
      <c r="I104" s="26" t="s">
        <v>14</v>
      </c>
      <c r="J104" s="26" t="s">
        <v>36</v>
      </c>
      <c r="K104" s="26" t="s">
        <v>48</v>
      </c>
      <c r="L104" s="26" t="s">
        <v>12</v>
      </c>
      <c r="M104" s="26" t="s">
        <v>18</v>
      </c>
      <c r="N104" s="26" t="s">
        <v>28</v>
      </c>
      <c r="O104" s="26" t="s">
        <v>40</v>
      </c>
      <c r="P104" s="26" t="s">
        <v>15</v>
      </c>
    </row>
    <row r="105" spans="1:16" x14ac:dyDescent="0.3">
      <c r="A105" s="24" t="str">
        <f t="shared" si="2"/>
        <v>Jane Phillips</v>
      </c>
      <c r="B105" s="25">
        <f t="shared" si="3"/>
        <v>10</v>
      </c>
      <c r="C105" s="26" t="s">
        <v>290</v>
      </c>
      <c r="D105" s="26" t="s">
        <v>295</v>
      </c>
      <c r="E105" s="36" t="s">
        <v>296</v>
      </c>
      <c r="F105" s="37"/>
      <c r="G105" s="26" t="s">
        <v>48</v>
      </c>
      <c r="H105" s="26" t="s">
        <v>47</v>
      </c>
      <c r="I105" s="26" t="s">
        <v>37</v>
      </c>
      <c r="J105" s="26" t="s">
        <v>30</v>
      </c>
      <c r="K105" s="26" t="s">
        <v>49</v>
      </c>
      <c r="L105" s="26" t="s">
        <v>34</v>
      </c>
      <c r="M105" s="26" t="s">
        <v>66</v>
      </c>
      <c r="N105" s="26" t="s">
        <v>27</v>
      </c>
      <c r="O105" s="26" t="s">
        <v>41</v>
      </c>
      <c r="P105" s="26" t="s">
        <v>17</v>
      </c>
    </row>
    <row r="106" spans="1:16" x14ac:dyDescent="0.3">
      <c r="A106" s="24" t="str">
        <f t="shared" si="2"/>
        <v>Jasmine Harris</v>
      </c>
      <c r="B106" s="25">
        <f t="shared" si="3"/>
        <v>10</v>
      </c>
      <c r="C106" s="29" t="s">
        <v>297</v>
      </c>
      <c r="D106" s="29" t="s">
        <v>298</v>
      </c>
      <c r="E106" s="42" t="s">
        <v>299</v>
      </c>
      <c r="F106" s="43" t="s">
        <v>270</v>
      </c>
      <c r="G106" s="29" t="s">
        <v>37</v>
      </c>
      <c r="H106" s="29" t="s">
        <v>34</v>
      </c>
      <c r="I106" s="29" t="s">
        <v>54</v>
      </c>
      <c r="J106" s="29" t="s">
        <v>30</v>
      </c>
      <c r="K106" s="29" t="s">
        <v>49</v>
      </c>
      <c r="L106" s="29" t="s">
        <v>27</v>
      </c>
      <c r="M106" s="29" t="s">
        <v>66</v>
      </c>
      <c r="N106" s="29" t="s">
        <v>40</v>
      </c>
      <c r="O106" s="29" t="s">
        <v>15</v>
      </c>
      <c r="P106" s="29" t="s">
        <v>63</v>
      </c>
    </row>
    <row r="107" spans="1:16" x14ac:dyDescent="0.3">
      <c r="A107" s="24" t="str">
        <f t="shared" si="2"/>
        <v>Jason LeGuier</v>
      </c>
      <c r="B107" s="25">
        <f t="shared" si="3"/>
        <v>10</v>
      </c>
      <c r="C107" s="29" t="s">
        <v>300</v>
      </c>
      <c r="D107" s="29" t="s">
        <v>301</v>
      </c>
      <c r="E107" s="42" t="s">
        <v>302</v>
      </c>
      <c r="F107" s="43">
        <v>43545</v>
      </c>
      <c r="G107" s="26" t="s">
        <v>29</v>
      </c>
      <c r="H107" s="26" t="s">
        <v>36</v>
      </c>
      <c r="I107" s="26" t="s">
        <v>16</v>
      </c>
      <c r="J107" s="26" t="s">
        <v>42</v>
      </c>
      <c r="K107" s="26" t="s">
        <v>58</v>
      </c>
      <c r="L107" s="26" t="s">
        <v>34</v>
      </c>
      <c r="M107" s="26" t="s">
        <v>35</v>
      </c>
      <c r="N107" s="26" t="s">
        <v>19</v>
      </c>
      <c r="O107" s="26" t="s">
        <v>66</v>
      </c>
      <c r="P107" s="26" t="s">
        <v>18</v>
      </c>
    </row>
    <row r="108" spans="1:16" x14ac:dyDescent="0.3">
      <c r="A108" s="24" t="str">
        <f t="shared" si="2"/>
        <v>Jason Warrior</v>
      </c>
      <c r="B108" s="25">
        <f t="shared" si="3"/>
        <v>10</v>
      </c>
      <c r="C108" s="30" t="s">
        <v>300</v>
      </c>
      <c r="D108" s="30" t="s">
        <v>303</v>
      </c>
      <c r="E108" s="27" t="s">
        <v>304</v>
      </c>
      <c r="F108" s="31" t="s">
        <v>305</v>
      </c>
      <c r="G108" s="29" t="s">
        <v>12</v>
      </c>
      <c r="H108" s="29" t="s">
        <v>15</v>
      </c>
      <c r="I108" s="29" t="s">
        <v>95</v>
      </c>
      <c r="J108" s="29" t="s">
        <v>13</v>
      </c>
      <c r="K108" s="29" t="s">
        <v>54</v>
      </c>
      <c r="L108" s="29" t="s">
        <v>14</v>
      </c>
      <c r="M108" s="29" t="s">
        <v>30</v>
      </c>
      <c r="N108" s="29" t="s">
        <v>19</v>
      </c>
      <c r="O108" s="29" t="s">
        <v>66</v>
      </c>
      <c r="P108" s="29" t="s">
        <v>17</v>
      </c>
    </row>
    <row r="109" spans="1:16" x14ac:dyDescent="0.3">
      <c r="A109" s="24" t="str">
        <f t="shared" si="2"/>
        <v>Jayne Scott</v>
      </c>
      <c r="B109" s="25">
        <f t="shared" si="3"/>
        <v>10</v>
      </c>
      <c r="C109" s="47" t="s">
        <v>306</v>
      </c>
      <c r="D109" s="47" t="s">
        <v>109</v>
      </c>
      <c r="E109" s="36" t="s">
        <v>307</v>
      </c>
      <c r="F109" s="37">
        <v>44617</v>
      </c>
      <c r="G109" s="26" t="s">
        <v>35</v>
      </c>
      <c r="H109" s="29" t="s">
        <v>16</v>
      </c>
      <c r="I109" s="29" t="s">
        <v>14</v>
      </c>
      <c r="J109" s="29" t="s">
        <v>20</v>
      </c>
      <c r="K109" s="26" t="s">
        <v>12</v>
      </c>
      <c r="L109" s="26" t="s">
        <v>17</v>
      </c>
      <c r="M109" s="26" t="s">
        <v>63</v>
      </c>
      <c r="N109" s="26" t="s">
        <v>66</v>
      </c>
      <c r="O109" s="26" t="s">
        <v>34</v>
      </c>
      <c r="P109" s="26" t="s">
        <v>49</v>
      </c>
    </row>
    <row r="110" spans="1:16" x14ac:dyDescent="0.3">
      <c r="A110" s="24" t="str">
        <f t="shared" si="2"/>
        <v>Jeannine Burt</v>
      </c>
      <c r="B110" s="25">
        <f t="shared" si="3"/>
        <v>10</v>
      </c>
      <c r="C110" s="26" t="s">
        <v>308</v>
      </c>
      <c r="D110" s="26" t="s">
        <v>309</v>
      </c>
      <c r="E110" s="42"/>
      <c r="F110" s="43"/>
      <c r="G110" s="29" t="s">
        <v>18</v>
      </c>
      <c r="H110" s="29" t="s">
        <v>63</v>
      </c>
      <c r="I110" s="29" t="s">
        <v>54</v>
      </c>
      <c r="J110" s="29" t="s">
        <v>28</v>
      </c>
      <c r="K110" s="29" t="s">
        <v>29</v>
      </c>
      <c r="L110" s="29" t="s">
        <v>17</v>
      </c>
      <c r="M110" s="29" t="s">
        <v>16</v>
      </c>
      <c r="N110" s="29" t="s">
        <v>13</v>
      </c>
      <c r="O110" s="29" t="s">
        <v>48</v>
      </c>
      <c r="P110" s="29" t="s">
        <v>37</v>
      </c>
    </row>
    <row r="111" spans="1:16" x14ac:dyDescent="0.3">
      <c r="A111" s="24" t="str">
        <f t="shared" si="2"/>
        <v>Jean-Paul Seear</v>
      </c>
      <c r="B111" s="25">
        <f t="shared" si="3"/>
        <v>10</v>
      </c>
      <c r="C111" s="26" t="s">
        <v>310</v>
      </c>
      <c r="D111" s="26" t="s">
        <v>311</v>
      </c>
      <c r="E111" s="36" t="s">
        <v>312</v>
      </c>
      <c r="F111" s="37">
        <v>44434</v>
      </c>
      <c r="G111" s="26" t="s">
        <v>41</v>
      </c>
      <c r="H111" s="26" t="s">
        <v>17</v>
      </c>
      <c r="I111" s="26" t="s">
        <v>27</v>
      </c>
      <c r="J111" s="26" t="s">
        <v>15</v>
      </c>
      <c r="K111" s="26" t="s">
        <v>34</v>
      </c>
      <c r="L111" s="26" t="s">
        <v>20</v>
      </c>
      <c r="M111" s="26" t="s">
        <v>66</v>
      </c>
      <c r="N111" s="26" t="s">
        <v>21</v>
      </c>
      <c r="O111" s="26" t="s">
        <v>35</v>
      </c>
      <c r="P111" s="26" t="s">
        <v>12</v>
      </c>
    </row>
    <row r="112" spans="1:16" x14ac:dyDescent="0.3">
      <c r="A112" s="24" t="str">
        <f t="shared" si="2"/>
        <v>Jeffrey Pepito</v>
      </c>
      <c r="B112" s="25">
        <f t="shared" si="3"/>
        <v>10</v>
      </c>
      <c r="C112" s="26" t="s">
        <v>313</v>
      </c>
      <c r="D112" s="26" t="s">
        <v>314</v>
      </c>
      <c r="E112" s="27" t="s">
        <v>315</v>
      </c>
      <c r="F112" s="28">
        <v>44617</v>
      </c>
      <c r="G112" s="26" t="s">
        <v>95</v>
      </c>
      <c r="H112" s="29" t="s">
        <v>37</v>
      </c>
      <c r="I112" s="29" t="s">
        <v>20</v>
      </c>
      <c r="J112" s="29" t="s">
        <v>25</v>
      </c>
      <c r="K112" s="29" t="s">
        <v>28</v>
      </c>
      <c r="L112" s="29" t="s">
        <v>15</v>
      </c>
      <c r="M112" s="29" t="s">
        <v>48</v>
      </c>
      <c r="N112" s="29" t="s">
        <v>46</v>
      </c>
      <c r="O112" s="29" t="s">
        <v>47</v>
      </c>
      <c r="P112" s="29" t="s">
        <v>34</v>
      </c>
    </row>
    <row r="113" spans="1:16" x14ac:dyDescent="0.3">
      <c r="A113" s="24" t="str">
        <f t="shared" si="2"/>
        <v>Jen Harwood</v>
      </c>
      <c r="B113" s="25">
        <f t="shared" si="3"/>
        <v>5</v>
      </c>
      <c r="C113" s="39" t="s">
        <v>316</v>
      </c>
      <c r="D113" s="39" t="s">
        <v>317</v>
      </c>
      <c r="E113" s="40" t="s">
        <v>318</v>
      </c>
      <c r="F113" s="28">
        <v>43185</v>
      </c>
      <c r="G113" s="26" t="s">
        <v>58</v>
      </c>
      <c r="H113" s="26" t="s">
        <v>29</v>
      </c>
      <c r="I113" s="26" t="s">
        <v>48</v>
      </c>
      <c r="J113" s="26" t="s">
        <v>18</v>
      </c>
      <c r="K113" s="26" t="s">
        <v>26</v>
      </c>
      <c r="L113" s="26"/>
      <c r="M113" s="26"/>
      <c r="N113" s="26"/>
      <c r="O113" s="26"/>
      <c r="P113" s="26"/>
    </row>
    <row r="114" spans="1:16" x14ac:dyDescent="0.3">
      <c r="A114" s="24" t="str">
        <f t="shared" si="2"/>
        <v>Jenna Conway-Jones</v>
      </c>
      <c r="B114" s="25">
        <f t="shared" si="3"/>
        <v>10</v>
      </c>
      <c r="C114" s="29" t="s">
        <v>319</v>
      </c>
      <c r="D114" s="29" t="s">
        <v>320</v>
      </c>
      <c r="E114" s="42" t="s">
        <v>321</v>
      </c>
      <c r="F114" s="43">
        <v>45033</v>
      </c>
      <c r="G114" s="26" t="s">
        <v>37</v>
      </c>
      <c r="H114" s="29" t="s">
        <v>63</v>
      </c>
      <c r="I114" s="29" t="s">
        <v>28</v>
      </c>
      <c r="J114" s="29" t="s">
        <v>15</v>
      </c>
      <c r="K114" s="29" t="s">
        <v>46</v>
      </c>
      <c r="L114" s="29" t="s">
        <v>47</v>
      </c>
      <c r="M114" s="29" t="s">
        <v>34</v>
      </c>
      <c r="N114" s="29" t="s">
        <v>49</v>
      </c>
      <c r="O114" s="29" t="s">
        <v>48</v>
      </c>
      <c r="P114" s="29" t="s">
        <v>18</v>
      </c>
    </row>
    <row r="115" spans="1:16" x14ac:dyDescent="0.3">
      <c r="A115" s="24" t="str">
        <f t="shared" si="2"/>
        <v>Jennifer Bicknell</v>
      </c>
      <c r="B115" s="25">
        <f t="shared" si="3"/>
        <v>10</v>
      </c>
      <c r="C115" s="26" t="s">
        <v>322</v>
      </c>
      <c r="D115" s="26" t="s">
        <v>323</v>
      </c>
      <c r="E115" s="27" t="s">
        <v>324</v>
      </c>
      <c r="F115" s="28">
        <v>408762</v>
      </c>
      <c r="G115" s="26" t="s">
        <v>29</v>
      </c>
      <c r="H115" s="26" t="s">
        <v>58</v>
      </c>
      <c r="I115" s="26" t="s">
        <v>26</v>
      </c>
      <c r="J115" s="26" t="s">
        <v>18</v>
      </c>
      <c r="K115" s="26" t="s">
        <v>50</v>
      </c>
      <c r="L115" s="26" t="s">
        <v>12</v>
      </c>
      <c r="M115" s="26" t="s">
        <v>19</v>
      </c>
      <c r="N115" s="26" t="s">
        <v>28</v>
      </c>
      <c r="O115" s="26" t="s">
        <v>35</v>
      </c>
      <c r="P115" s="26" t="s">
        <v>16</v>
      </c>
    </row>
    <row r="116" spans="1:16" x14ac:dyDescent="0.3">
      <c r="A116" s="24" t="str">
        <f t="shared" si="2"/>
        <v>Jennifer Larisma</v>
      </c>
      <c r="B116" s="25">
        <f t="shared" si="3"/>
        <v>10</v>
      </c>
      <c r="C116" s="32" t="s">
        <v>322</v>
      </c>
      <c r="D116" s="32" t="s">
        <v>325</v>
      </c>
      <c r="E116" s="33" t="s">
        <v>326</v>
      </c>
      <c r="F116" s="46" t="s">
        <v>327</v>
      </c>
      <c r="G116" s="32" t="s">
        <v>29</v>
      </c>
      <c r="H116" s="32" t="s">
        <v>14</v>
      </c>
      <c r="I116" s="32" t="s">
        <v>15</v>
      </c>
      <c r="J116" s="32" t="s">
        <v>66</v>
      </c>
      <c r="K116" s="32" t="s">
        <v>20</v>
      </c>
      <c r="L116" s="32" t="s">
        <v>40</v>
      </c>
      <c r="M116" s="32" t="s">
        <v>12</v>
      </c>
      <c r="N116" s="32" t="s">
        <v>25</v>
      </c>
      <c r="O116" s="32" t="s">
        <v>46</v>
      </c>
      <c r="P116" s="32" t="s">
        <v>41</v>
      </c>
    </row>
    <row r="117" spans="1:16" x14ac:dyDescent="0.3">
      <c r="A117" s="24" t="str">
        <f t="shared" si="2"/>
        <v>Jenny Mays</v>
      </c>
      <c r="B117" s="25">
        <f t="shared" si="3"/>
        <v>10</v>
      </c>
      <c r="C117" s="39" t="s">
        <v>328</v>
      </c>
      <c r="D117" s="39" t="s">
        <v>329</v>
      </c>
      <c r="E117" s="40" t="s">
        <v>330</v>
      </c>
      <c r="F117" s="28">
        <v>43586</v>
      </c>
      <c r="G117" s="26" t="s">
        <v>15</v>
      </c>
      <c r="H117" s="26" t="s">
        <v>16</v>
      </c>
      <c r="I117" s="26" t="s">
        <v>34</v>
      </c>
      <c r="J117" s="26" t="s">
        <v>58</v>
      </c>
      <c r="K117" s="26" t="s">
        <v>37</v>
      </c>
      <c r="L117" s="26" t="s">
        <v>46</v>
      </c>
      <c r="M117" s="26" t="s">
        <v>35</v>
      </c>
      <c r="N117" s="26" t="s">
        <v>12</v>
      </c>
      <c r="O117" s="26" t="s">
        <v>66</v>
      </c>
      <c r="P117" s="26" t="s">
        <v>20</v>
      </c>
    </row>
    <row r="118" spans="1:16" x14ac:dyDescent="0.3">
      <c r="A118" s="24" t="str">
        <f t="shared" si="2"/>
        <v>Jessica Lloyd</v>
      </c>
      <c r="B118" s="25">
        <f t="shared" si="3"/>
        <v>10</v>
      </c>
      <c r="C118" s="26" t="s">
        <v>331</v>
      </c>
      <c r="D118" s="26" t="s">
        <v>332</v>
      </c>
      <c r="E118" s="42" t="s">
        <v>333</v>
      </c>
      <c r="F118" s="43">
        <v>42696</v>
      </c>
      <c r="G118" s="26" t="s">
        <v>63</v>
      </c>
      <c r="H118" s="26" t="s">
        <v>14</v>
      </c>
      <c r="I118" s="26" t="s">
        <v>15</v>
      </c>
      <c r="J118" s="26" t="s">
        <v>37</v>
      </c>
      <c r="K118" s="26" t="s">
        <v>17</v>
      </c>
      <c r="L118" s="26" t="s">
        <v>12</v>
      </c>
      <c r="M118" s="26" t="s">
        <v>25</v>
      </c>
      <c r="N118" s="26" t="s">
        <v>49</v>
      </c>
      <c r="O118" s="26" t="s">
        <v>41</v>
      </c>
      <c r="P118" s="26" t="s">
        <v>34</v>
      </c>
    </row>
    <row r="119" spans="1:16" x14ac:dyDescent="0.3">
      <c r="A119" s="24" t="str">
        <f t="shared" si="2"/>
        <v>Jessie Goh</v>
      </c>
      <c r="B119" s="25">
        <f t="shared" si="3"/>
        <v>10</v>
      </c>
      <c r="C119" s="26" t="s">
        <v>334</v>
      </c>
      <c r="D119" s="26" t="s">
        <v>335</v>
      </c>
      <c r="E119" s="36" t="s">
        <v>336</v>
      </c>
      <c r="F119" s="37"/>
      <c r="G119" s="26" t="s">
        <v>21</v>
      </c>
      <c r="H119" s="26" t="s">
        <v>73</v>
      </c>
      <c r="I119" s="26" t="s">
        <v>12</v>
      </c>
      <c r="J119" s="26" t="s">
        <v>42</v>
      </c>
      <c r="K119" s="26" t="s">
        <v>29</v>
      </c>
      <c r="L119" s="26" t="s">
        <v>18</v>
      </c>
      <c r="M119" s="26" t="s">
        <v>26</v>
      </c>
      <c r="N119" s="26" t="s">
        <v>28</v>
      </c>
      <c r="O119" s="26" t="s">
        <v>15</v>
      </c>
      <c r="P119" s="26" t="s">
        <v>13</v>
      </c>
    </row>
    <row r="120" spans="1:16" x14ac:dyDescent="0.3">
      <c r="A120" s="24" t="str">
        <f t="shared" si="2"/>
        <v>Jo Brassett</v>
      </c>
      <c r="B120" s="25">
        <f t="shared" si="3"/>
        <v>10</v>
      </c>
      <c r="C120" s="26" t="s">
        <v>337</v>
      </c>
      <c r="D120" s="26" t="s">
        <v>210</v>
      </c>
      <c r="E120" s="42" t="s">
        <v>338</v>
      </c>
      <c r="F120" s="43">
        <v>43537</v>
      </c>
      <c r="G120" s="26" t="s">
        <v>28</v>
      </c>
      <c r="H120" s="26" t="s">
        <v>12</v>
      </c>
      <c r="I120" s="26" t="s">
        <v>41</v>
      </c>
      <c r="J120" s="26" t="s">
        <v>17</v>
      </c>
      <c r="K120" s="26" t="s">
        <v>42</v>
      </c>
      <c r="L120" s="26" t="s">
        <v>18</v>
      </c>
      <c r="M120" s="26" t="s">
        <v>14</v>
      </c>
      <c r="N120" s="26" t="s">
        <v>66</v>
      </c>
      <c r="O120" s="26" t="s">
        <v>20</v>
      </c>
      <c r="P120" s="26" t="s">
        <v>49</v>
      </c>
    </row>
    <row r="121" spans="1:16" x14ac:dyDescent="0.3">
      <c r="A121" s="24" t="str">
        <f t="shared" si="2"/>
        <v>Jo Grainger</v>
      </c>
      <c r="B121" s="25">
        <f t="shared" si="3"/>
        <v>5</v>
      </c>
      <c r="C121" s="39" t="s">
        <v>337</v>
      </c>
      <c r="D121" s="39" t="s">
        <v>339</v>
      </c>
      <c r="E121" s="27"/>
      <c r="F121" s="28">
        <v>43306</v>
      </c>
      <c r="G121" s="26" t="s">
        <v>27</v>
      </c>
      <c r="H121" s="26" t="s">
        <v>54</v>
      </c>
      <c r="I121" s="26" t="s">
        <v>29</v>
      </c>
      <c r="J121" s="26" t="s">
        <v>18</v>
      </c>
      <c r="K121" s="26" t="s">
        <v>12</v>
      </c>
      <c r="L121" s="26"/>
      <c r="M121" s="26"/>
      <c r="N121" s="26"/>
      <c r="O121" s="26"/>
      <c r="P121" s="26"/>
    </row>
    <row r="122" spans="1:16" x14ac:dyDescent="0.3">
      <c r="A122" s="24" t="str">
        <f t="shared" si="2"/>
        <v>Jodi Fisher</v>
      </c>
      <c r="B122" s="25">
        <f t="shared" si="3"/>
        <v>10</v>
      </c>
      <c r="C122" s="30" t="s">
        <v>340</v>
      </c>
      <c r="D122" s="30" t="s">
        <v>341</v>
      </c>
      <c r="E122" s="27" t="s">
        <v>342</v>
      </c>
      <c r="F122" s="31" t="s">
        <v>343</v>
      </c>
      <c r="G122" s="29" t="s">
        <v>14</v>
      </c>
      <c r="H122" s="29" t="s">
        <v>12</v>
      </c>
      <c r="I122" s="29" t="s">
        <v>28</v>
      </c>
      <c r="J122" s="29" t="s">
        <v>66</v>
      </c>
      <c r="K122" s="29" t="s">
        <v>21</v>
      </c>
      <c r="L122" s="29" t="s">
        <v>36</v>
      </c>
      <c r="M122" s="29" t="s">
        <v>48</v>
      </c>
      <c r="N122" s="29" t="s">
        <v>49</v>
      </c>
      <c r="O122" s="29" t="s">
        <v>18</v>
      </c>
      <c r="P122" s="29" t="s">
        <v>41</v>
      </c>
    </row>
    <row r="123" spans="1:16" x14ac:dyDescent="0.3">
      <c r="A123" s="24" t="str">
        <f t="shared" si="2"/>
        <v>John Brady</v>
      </c>
      <c r="B123" s="25">
        <f t="shared" si="3"/>
        <v>10</v>
      </c>
      <c r="C123" s="30" t="s">
        <v>344</v>
      </c>
      <c r="D123" s="30" t="s">
        <v>127</v>
      </c>
      <c r="E123" s="42"/>
      <c r="F123" s="43">
        <v>45090</v>
      </c>
      <c r="G123" s="29" t="s">
        <v>63</v>
      </c>
      <c r="H123" s="29" t="s">
        <v>34</v>
      </c>
      <c r="I123" s="29" t="s">
        <v>35</v>
      </c>
      <c r="J123" s="29" t="s">
        <v>17</v>
      </c>
      <c r="K123" s="29" t="s">
        <v>54</v>
      </c>
      <c r="L123" s="29" t="s">
        <v>37</v>
      </c>
      <c r="M123" s="29" t="s">
        <v>20</v>
      </c>
      <c r="N123" s="29" t="s">
        <v>49</v>
      </c>
      <c r="O123" s="29" t="s">
        <v>16</v>
      </c>
      <c r="P123" s="29" t="s">
        <v>66</v>
      </c>
    </row>
    <row r="124" spans="1:16" x14ac:dyDescent="0.3">
      <c r="A124" s="24" t="s">
        <v>345</v>
      </c>
      <c r="B124" s="25">
        <v>34</v>
      </c>
      <c r="C124" s="34" t="s">
        <v>344</v>
      </c>
      <c r="D124" s="34" t="s">
        <v>346</v>
      </c>
      <c r="E124" s="34" t="s">
        <v>347</v>
      </c>
      <c r="F124" s="35">
        <v>45972</v>
      </c>
      <c r="G124" s="34" t="s">
        <v>35</v>
      </c>
      <c r="H124" s="34" t="s">
        <v>34</v>
      </c>
      <c r="I124" s="34" t="s">
        <v>18</v>
      </c>
      <c r="J124" s="34" t="s">
        <v>14</v>
      </c>
      <c r="K124" s="34" t="s">
        <v>37</v>
      </c>
      <c r="L124" s="34" t="s">
        <v>54</v>
      </c>
      <c r="M124" s="34" t="s">
        <v>48</v>
      </c>
      <c r="N124" s="34" t="s">
        <v>95</v>
      </c>
      <c r="O124" s="34" t="s">
        <v>40</v>
      </c>
      <c r="P124" s="34" t="s">
        <v>16</v>
      </c>
    </row>
    <row r="125" spans="1:16" x14ac:dyDescent="0.3">
      <c r="A125" s="24" t="str">
        <f t="shared" ref="A125:A188" si="4">CONCATENATE(C125," ",D125)</f>
        <v>Josef Koscinski</v>
      </c>
      <c r="B125" s="25">
        <f t="shared" ref="B125:B188" si="5">IF(COUNTA(G125:AN125)=SUMPRODUCT((G125:AN125&lt;&gt;"")/COUNTIF(G125:AN125,G125:AN125&amp;"")),COUNTA(G125:AN125),"Duplicate")</f>
        <v>10</v>
      </c>
      <c r="C125" s="26" t="s">
        <v>348</v>
      </c>
      <c r="D125" s="26" t="s">
        <v>349</v>
      </c>
      <c r="E125" s="42" t="s">
        <v>350</v>
      </c>
      <c r="F125" s="43">
        <v>43545</v>
      </c>
      <c r="G125" s="26" t="s">
        <v>29</v>
      </c>
      <c r="H125" s="26" t="s">
        <v>12</v>
      </c>
      <c r="I125" s="26" t="s">
        <v>28</v>
      </c>
      <c r="J125" s="26" t="s">
        <v>36</v>
      </c>
      <c r="K125" s="26" t="s">
        <v>34</v>
      </c>
      <c r="L125" s="26" t="s">
        <v>73</v>
      </c>
      <c r="M125" s="26" t="s">
        <v>14</v>
      </c>
      <c r="N125" s="26" t="s">
        <v>46</v>
      </c>
      <c r="O125" s="26" t="s">
        <v>58</v>
      </c>
      <c r="P125" s="26" t="s">
        <v>42</v>
      </c>
    </row>
    <row r="126" spans="1:16" x14ac:dyDescent="0.3">
      <c r="A126" s="24" t="str">
        <f t="shared" si="4"/>
        <v>Josephine Chan</v>
      </c>
      <c r="B126" s="25">
        <f t="shared" si="5"/>
        <v>10</v>
      </c>
      <c r="C126" s="26" t="s">
        <v>351</v>
      </c>
      <c r="D126" s="26" t="s">
        <v>352</v>
      </c>
      <c r="E126" s="27" t="s">
        <v>353</v>
      </c>
      <c r="F126" s="31">
        <v>44158</v>
      </c>
      <c r="G126" s="26" t="s">
        <v>28</v>
      </c>
      <c r="H126" s="26" t="s">
        <v>27</v>
      </c>
      <c r="I126" s="26" t="s">
        <v>18</v>
      </c>
      <c r="J126" s="26" t="s">
        <v>13</v>
      </c>
      <c r="K126" s="26" t="s">
        <v>66</v>
      </c>
      <c r="L126" s="26" t="s">
        <v>37</v>
      </c>
      <c r="M126" s="26" t="s">
        <v>15</v>
      </c>
      <c r="N126" s="26" t="s">
        <v>41</v>
      </c>
      <c r="O126" s="26" t="s">
        <v>36</v>
      </c>
      <c r="P126" s="26" t="s">
        <v>63</v>
      </c>
    </row>
    <row r="127" spans="1:16" x14ac:dyDescent="0.3">
      <c r="A127" s="24" t="str">
        <f t="shared" si="4"/>
        <v>Juliana Rezende</v>
      </c>
      <c r="B127" s="25">
        <f t="shared" si="5"/>
        <v>10</v>
      </c>
      <c r="C127" s="26" t="s">
        <v>354</v>
      </c>
      <c r="D127" s="26" t="s">
        <v>355</v>
      </c>
      <c r="E127" s="42"/>
      <c r="F127" s="43"/>
      <c r="G127" s="29" t="s">
        <v>41</v>
      </c>
      <c r="H127" s="29" t="s">
        <v>12</v>
      </c>
      <c r="I127" s="29" t="s">
        <v>17</v>
      </c>
      <c r="J127" s="29" t="s">
        <v>63</v>
      </c>
      <c r="K127" s="29" t="s">
        <v>25</v>
      </c>
      <c r="L127" s="29" t="s">
        <v>15</v>
      </c>
      <c r="M127" s="29" t="s">
        <v>26</v>
      </c>
      <c r="N127" s="29" t="s">
        <v>73</v>
      </c>
      <c r="O127" s="29" t="s">
        <v>18</v>
      </c>
      <c r="P127" s="29" t="s">
        <v>21</v>
      </c>
    </row>
    <row r="128" spans="1:16" x14ac:dyDescent="0.3">
      <c r="A128" s="24" t="str">
        <f t="shared" si="4"/>
        <v>Julianne Ruizol</v>
      </c>
      <c r="B128" s="25">
        <f t="shared" si="5"/>
        <v>10</v>
      </c>
      <c r="C128" s="26" t="s">
        <v>356</v>
      </c>
      <c r="D128" s="26" t="s">
        <v>357</v>
      </c>
      <c r="E128" s="27"/>
      <c r="F128" s="31"/>
      <c r="G128" s="29" t="s">
        <v>14</v>
      </c>
      <c r="H128" s="29" t="s">
        <v>49</v>
      </c>
      <c r="I128" s="29" t="s">
        <v>12</v>
      </c>
      <c r="J128" s="29" t="s">
        <v>34</v>
      </c>
      <c r="K128" s="29" t="s">
        <v>20</v>
      </c>
      <c r="L128" s="29" t="s">
        <v>15</v>
      </c>
      <c r="M128" s="29" t="s">
        <v>35</v>
      </c>
      <c r="N128" s="29" t="s">
        <v>28</v>
      </c>
      <c r="O128" s="29" t="s">
        <v>25</v>
      </c>
      <c r="P128" s="29" t="s">
        <v>40</v>
      </c>
    </row>
    <row r="129" spans="1:16" x14ac:dyDescent="0.3">
      <c r="A129" s="24" t="str">
        <f t="shared" si="4"/>
        <v>Julie Haerland</v>
      </c>
      <c r="B129" s="25">
        <f t="shared" si="5"/>
        <v>10</v>
      </c>
      <c r="C129" s="26" t="s">
        <v>358</v>
      </c>
      <c r="D129" s="26" t="s">
        <v>359</v>
      </c>
      <c r="E129" s="42" t="s">
        <v>360</v>
      </c>
      <c r="F129" s="43">
        <v>43866</v>
      </c>
      <c r="G129" s="26" t="s">
        <v>54</v>
      </c>
      <c r="H129" s="26" t="s">
        <v>20</v>
      </c>
      <c r="I129" s="26" t="s">
        <v>63</v>
      </c>
      <c r="J129" s="26" t="s">
        <v>47</v>
      </c>
      <c r="K129" s="26" t="s">
        <v>34</v>
      </c>
      <c r="L129" s="26" t="s">
        <v>37</v>
      </c>
      <c r="M129" s="26" t="s">
        <v>35</v>
      </c>
      <c r="N129" s="26" t="s">
        <v>15</v>
      </c>
      <c r="O129" s="26" t="s">
        <v>17</v>
      </c>
      <c r="P129" s="26" t="s">
        <v>29</v>
      </c>
    </row>
    <row r="130" spans="1:16" x14ac:dyDescent="0.3">
      <c r="A130" s="24" t="str">
        <f t="shared" si="4"/>
        <v>Julien Di Stefano</v>
      </c>
      <c r="B130" s="25">
        <f t="shared" si="5"/>
        <v>10</v>
      </c>
      <c r="C130" s="26" t="s">
        <v>361</v>
      </c>
      <c r="D130" s="26" t="s">
        <v>362</v>
      </c>
      <c r="E130" s="42"/>
      <c r="F130" s="43"/>
      <c r="G130" s="29" t="s">
        <v>34</v>
      </c>
      <c r="H130" s="29" t="s">
        <v>63</v>
      </c>
      <c r="I130" s="29" t="s">
        <v>47</v>
      </c>
      <c r="J130" s="29" t="s">
        <v>12</v>
      </c>
      <c r="K130" s="29" t="s">
        <v>17</v>
      </c>
      <c r="L130" s="29" t="s">
        <v>25</v>
      </c>
      <c r="M130" s="29" t="s">
        <v>14</v>
      </c>
      <c r="N130" s="29" t="s">
        <v>13</v>
      </c>
      <c r="O130" s="29" t="s">
        <v>37</v>
      </c>
      <c r="P130" s="29" t="s">
        <v>66</v>
      </c>
    </row>
    <row r="131" spans="1:16" x14ac:dyDescent="0.3">
      <c r="A131" s="24" t="str">
        <f t="shared" si="4"/>
        <v>Justine Williams</v>
      </c>
      <c r="B131" s="25">
        <f t="shared" si="5"/>
        <v>10</v>
      </c>
      <c r="C131" s="26" t="s">
        <v>363</v>
      </c>
      <c r="D131" s="26" t="s">
        <v>364</v>
      </c>
      <c r="E131" s="27" t="s">
        <v>365</v>
      </c>
      <c r="F131" s="28">
        <v>43508</v>
      </c>
      <c r="G131" s="26" t="s">
        <v>36</v>
      </c>
      <c r="H131" s="26" t="s">
        <v>34</v>
      </c>
      <c r="I131" s="26" t="s">
        <v>48</v>
      </c>
      <c r="J131" s="26" t="s">
        <v>29</v>
      </c>
      <c r="K131" s="26" t="s">
        <v>27</v>
      </c>
      <c r="L131" s="26" t="s">
        <v>18</v>
      </c>
      <c r="M131" s="26" t="s">
        <v>35</v>
      </c>
      <c r="N131" s="26" t="s">
        <v>16</v>
      </c>
      <c r="O131" s="26" t="s">
        <v>37</v>
      </c>
      <c r="P131" s="26" t="s">
        <v>47</v>
      </c>
    </row>
    <row r="132" spans="1:16" x14ac:dyDescent="0.3">
      <c r="A132" s="24" t="str">
        <f t="shared" si="4"/>
        <v>Juwariah Iqbal</v>
      </c>
      <c r="B132" s="25">
        <f t="shared" si="5"/>
        <v>10</v>
      </c>
      <c r="C132" s="26" t="s">
        <v>366</v>
      </c>
      <c r="D132" s="26" t="s">
        <v>80</v>
      </c>
      <c r="E132" s="36" t="s">
        <v>367</v>
      </c>
      <c r="F132" s="37">
        <v>43969</v>
      </c>
      <c r="G132" s="26" t="s">
        <v>95</v>
      </c>
      <c r="H132" s="26" t="s">
        <v>42</v>
      </c>
      <c r="I132" s="26" t="s">
        <v>46</v>
      </c>
      <c r="J132" s="26" t="s">
        <v>12</v>
      </c>
      <c r="K132" s="26" t="s">
        <v>49</v>
      </c>
      <c r="L132" s="26" t="s">
        <v>26</v>
      </c>
      <c r="M132" s="26" t="s">
        <v>54</v>
      </c>
      <c r="N132" s="26" t="s">
        <v>29</v>
      </c>
      <c r="O132" s="26" t="s">
        <v>30</v>
      </c>
      <c r="P132" s="26" t="s">
        <v>14</v>
      </c>
    </row>
    <row r="133" spans="1:16" x14ac:dyDescent="0.3">
      <c r="A133" s="24" t="str">
        <f t="shared" si="4"/>
        <v>Kahlia Power</v>
      </c>
      <c r="B133" s="25">
        <f t="shared" si="5"/>
        <v>10</v>
      </c>
      <c r="C133" s="29" t="s">
        <v>368</v>
      </c>
      <c r="D133" s="29" t="s">
        <v>369</v>
      </c>
      <c r="E133" s="42" t="s">
        <v>370</v>
      </c>
      <c r="F133" s="43" t="s">
        <v>371</v>
      </c>
      <c r="G133" s="29" t="s">
        <v>37</v>
      </c>
      <c r="H133" s="29" t="s">
        <v>46</v>
      </c>
      <c r="I133" s="29" t="s">
        <v>47</v>
      </c>
      <c r="J133" s="29" t="s">
        <v>54</v>
      </c>
      <c r="K133" s="29" t="s">
        <v>29</v>
      </c>
      <c r="L133" s="29" t="s">
        <v>66</v>
      </c>
      <c r="M133" s="29" t="s">
        <v>40</v>
      </c>
      <c r="N133" s="29" t="s">
        <v>15</v>
      </c>
      <c r="O133" s="29" t="s">
        <v>17</v>
      </c>
      <c r="P133" s="29" t="s">
        <v>18</v>
      </c>
    </row>
    <row r="134" spans="1:16" x14ac:dyDescent="0.3">
      <c r="A134" s="24" t="str">
        <f t="shared" si="4"/>
        <v>Kate Cowled</v>
      </c>
      <c r="B134" s="25">
        <f t="shared" si="5"/>
        <v>10</v>
      </c>
      <c r="C134" s="34" t="s">
        <v>372</v>
      </c>
      <c r="D134" s="34" t="s">
        <v>272</v>
      </c>
      <c r="E134" s="34" t="s">
        <v>373</v>
      </c>
      <c r="F134" s="35">
        <v>45938</v>
      </c>
      <c r="G134" s="34" t="s">
        <v>63</v>
      </c>
      <c r="H134" s="34" t="s">
        <v>37</v>
      </c>
      <c r="I134" s="34" t="s">
        <v>47</v>
      </c>
      <c r="J134" s="34" t="s">
        <v>17</v>
      </c>
      <c r="K134" s="34" t="s">
        <v>34</v>
      </c>
      <c r="L134" s="34" t="s">
        <v>20</v>
      </c>
      <c r="M134" s="34" t="s">
        <v>35</v>
      </c>
      <c r="N134" s="34" t="s">
        <v>54</v>
      </c>
      <c r="O134" s="34" t="s">
        <v>18</v>
      </c>
      <c r="P134" s="34" t="s">
        <v>16</v>
      </c>
    </row>
    <row r="135" spans="1:16" x14ac:dyDescent="0.3">
      <c r="A135" s="24" t="str">
        <f t="shared" si="4"/>
        <v>Kate Kerr</v>
      </c>
      <c r="B135" s="25">
        <f t="shared" si="5"/>
        <v>10</v>
      </c>
      <c r="C135" s="26" t="s">
        <v>372</v>
      </c>
      <c r="D135" s="26" t="s">
        <v>374</v>
      </c>
      <c r="E135" s="36" t="s">
        <v>375</v>
      </c>
      <c r="F135" s="37"/>
      <c r="G135" s="26" t="s">
        <v>14</v>
      </c>
      <c r="H135" s="26" t="s">
        <v>48</v>
      </c>
      <c r="I135" s="26" t="s">
        <v>49</v>
      </c>
      <c r="J135" s="26" t="s">
        <v>40</v>
      </c>
      <c r="K135" s="26" t="s">
        <v>28</v>
      </c>
      <c r="L135" s="26" t="s">
        <v>34</v>
      </c>
      <c r="M135" s="26" t="s">
        <v>15</v>
      </c>
      <c r="N135" s="26" t="s">
        <v>37</v>
      </c>
      <c r="O135" s="26" t="s">
        <v>46</v>
      </c>
      <c r="P135" s="26" t="s">
        <v>18</v>
      </c>
    </row>
    <row r="136" spans="1:16" x14ac:dyDescent="0.3">
      <c r="A136" s="24" t="str">
        <f t="shared" si="4"/>
        <v>Kate Roberts</v>
      </c>
      <c r="B136" s="25">
        <f t="shared" si="5"/>
        <v>10</v>
      </c>
      <c r="C136" s="26" t="s">
        <v>372</v>
      </c>
      <c r="D136" s="26" t="s">
        <v>376</v>
      </c>
      <c r="E136" s="27"/>
      <c r="F136" s="43"/>
      <c r="G136" s="29" t="s">
        <v>25</v>
      </c>
      <c r="H136" s="29" t="s">
        <v>41</v>
      </c>
      <c r="I136" s="29" t="s">
        <v>35</v>
      </c>
      <c r="J136" s="29" t="s">
        <v>17</v>
      </c>
      <c r="K136" s="29" t="s">
        <v>18</v>
      </c>
      <c r="L136" s="29" t="s">
        <v>14</v>
      </c>
      <c r="M136" s="29" t="s">
        <v>15</v>
      </c>
      <c r="N136" s="29" t="s">
        <v>34</v>
      </c>
      <c r="O136" s="29" t="s">
        <v>12</v>
      </c>
      <c r="P136" s="29" t="s">
        <v>16</v>
      </c>
    </row>
    <row r="137" spans="1:16" x14ac:dyDescent="0.3">
      <c r="A137" s="24" t="str">
        <f t="shared" si="4"/>
        <v>Kate Wood</v>
      </c>
      <c r="B137" s="25">
        <f t="shared" si="5"/>
        <v>5</v>
      </c>
      <c r="C137" s="39" t="s">
        <v>372</v>
      </c>
      <c r="D137" s="39" t="s">
        <v>111</v>
      </c>
      <c r="E137" s="27"/>
      <c r="F137" s="28">
        <v>43306</v>
      </c>
      <c r="G137" s="26" t="s">
        <v>15</v>
      </c>
      <c r="H137" s="26" t="s">
        <v>37</v>
      </c>
      <c r="I137" s="26" t="s">
        <v>28</v>
      </c>
      <c r="J137" s="26" t="s">
        <v>40</v>
      </c>
      <c r="K137" s="26" t="s">
        <v>18</v>
      </c>
      <c r="L137" s="26"/>
      <c r="M137" s="26"/>
      <c r="N137" s="26"/>
      <c r="O137" s="26"/>
      <c r="P137" s="26"/>
    </row>
    <row r="138" spans="1:16" x14ac:dyDescent="0.3">
      <c r="A138" s="24" t="str">
        <f t="shared" si="4"/>
        <v>Kelly
 Danvers</v>
      </c>
      <c r="B138" s="25">
        <f t="shared" si="5"/>
        <v>10</v>
      </c>
      <c r="C138" s="26" t="s">
        <v>377</v>
      </c>
      <c r="D138" s="26" t="s">
        <v>378</v>
      </c>
      <c r="E138" s="36" t="s">
        <v>379</v>
      </c>
      <c r="F138" s="37">
        <v>44588</v>
      </c>
      <c r="G138" s="26" t="s">
        <v>37</v>
      </c>
      <c r="H138" s="29" t="s">
        <v>36</v>
      </c>
      <c r="I138" s="29" t="s">
        <v>40</v>
      </c>
      <c r="J138" s="29" t="s">
        <v>15</v>
      </c>
      <c r="K138" s="29" t="s">
        <v>34</v>
      </c>
      <c r="L138" s="29" t="s">
        <v>66</v>
      </c>
      <c r="M138" s="29" t="s">
        <v>46</v>
      </c>
      <c r="N138" s="29" t="s">
        <v>17</v>
      </c>
      <c r="O138" s="29" t="s">
        <v>16</v>
      </c>
      <c r="P138" s="29" t="s">
        <v>20</v>
      </c>
    </row>
    <row r="139" spans="1:16" x14ac:dyDescent="0.3">
      <c r="A139" s="24" t="str">
        <f t="shared" si="4"/>
        <v>Kerry Ashton</v>
      </c>
      <c r="B139" s="25">
        <f t="shared" si="5"/>
        <v>10</v>
      </c>
      <c r="C139" s="26" t="s">
        <v>380</v>
      </c>
      <c r="D139" s="26" t="s">
        <v>381</v>
      </c>
      <c r="E139" s="42" t="s">
        <v>382</v>
      </c>
      <c r="F139" s="43">
        <v>43362</v>
      </c>
      <c r="G139" s="26" t="s">
        <v>37</v>
      </c>
      <c r="H139" s="26" t="s">
        <v>63</v>
      </c>
      <c r="I139" s="26" t="s">
        <v>17</v>
      </c>
      <c r="J139" s="26" t="s">
        <v>54</v>
      </c>
      <c r="K139" s="26" t="s">
        <v>40</v>
      </c>
      <c r="L139" s="26" t="s">
        <v>30</v>
      </c>
      <c r="M139" s="26" t="s">
        <v>27</v>
      </c>
      <c r="N139" s="26" t="s">
        <v>66</v>
      </c>
      <c r="O139" s="26" t="s">
        <v>47</v>
      </c>
      <c r="P139" s="26" t="s">
        <v>15</v>
      </c>
    </row>
    <row r="140" spans="1:16" x14ac:dyDescent="0.3">
      <c r="A140" s="24" t="str">
        <f t="shared" si="4"/>
        <v>Kerry Dover</v>
      </c>
      <c r="B140" s="25">
        <f t="shared" si="5"/>
        <v>10</v>
      </c>
      <c r="C140" s="26" t="s">
        <v>380</v>
      </c>
      <c r="D140" s="26" t="s">
        <v>383</v>
      </c>
      <c r="E140" s="36" t="s">
        <v>384</v>
      </c>
      <c r="F140" s="37"/>
      <c r="G140" s="26" t="s">
        <v>29</v>
      </c>
      <c r="H140" s="26" t="s">
        <v>12</v>
      </c>
      <c r="I140" s="26" t="s">
        <v>20</v>
      </c>
      <c r="J140" s="26" t="s">
        <v>58</v>
      </c>
      <c r="K140" s="26" t="s">
        <v>21</v>
      </c>
      <c r="L140" s="26" t="s">
        <v>16</v>
      </c>
      <c r="M140" s="26" t="s">
        <v>26</v>
      </c>
      <c r="N140" s="26" t="s">
        <v>41</v>
      </c>
      <c r="O140" s="26" t="s">
        <v>18</v>
      </c>
      <c r="P140" s="26" t="s">
        <v>14</v>
      </c>
    </row>
    <row r="141" spans="1:16" x14ac:dyDescent="0.3">
      <c r="A141" s="24" t="str">
        <f t="shared" si="4"/>
        <v>Kerryn Odell</v>
      </c>
      <c r="B141" s="25">
        <f t="shared" si="5"/>
        <v>5</v>
      </c>
      <c r="C141" s="39" t="s">
        <v>385</v>
      </c>
      <c r="D141" s="39" t="s">
        <v>386</v>
      </c>
      <c r="E141" s="27"/>
      <c r="F141" s="28">
        <v>43306</v>
      </c>
      <c r="G141" s="26" t="s">
        <v>14</v>
      </c>
      <c r="H141" s="26" t="s">
        <v>49</v>
      </c>
      <c r="I141" s="26" t="s">
        <v>37</v>
      </c>
      <c r="J141" s="26" t="s">
        <v>27</v>
      </c>
      <c r="K141" s="26" t="s">
        <v>18</v>
      </c>
      <c r="L141" s="26"/>
      <c r="M141" s="26"/>
      <c r="N141" s="26"/>
      <c r="O141" s="26"/>
      <c r="P141" s="26"/>
    </row>
    <row r="142" spans="1:16" x14ac:dyDescent="0.3">
      <c r="A142" s="24" t="str">
        <f t="shared" si="4"/>
        <v>Kevin Hannan</v>
      </c>
      <c r="B142" s="25">
        <f t="shared" si="5"/>
        <v>10</v>
      </c>
      <c r="C142" s="38" t="s">
        <v>387</v>
      </c>
      <c r="D142" s="38" t="s">
        <v>388</v>
      </c>
      <c r="E142" s="38" t="s">
        <v>389</v>
      </c>
      <c r="F142" s="41">
        <v>45783</v>
      </c>
      <c r="G142" s="34" t="s">
        <v>54</v>
      </c>
      <c r="H142" s="34" t="s">
        <v>18</v>
      </c>
      <c r="I142" s="34" t="s">
        <v>48</v>
      </c>
      <c r="J142" s="34" t="s">
        <v>66</v>
      </c>
      <c r="K142" s="34" t="s">
        <v>40</v>
      </c>
      <c r="L142" s="34" t="s">
        <v>15</v>
      </c>
      <c r="M142" s="34" t="s">
        <v>12</v>
      </c>
      <c r="N142" s="34" t="s">
        <v>37</v>
      </c>
      <c r="O142" s="34" t="s">
        <v>46</v>
      </c>
      <c r="P142" s="34" t="s">
        <v>95</v>
      </c>
    </row>
    <row r="143" spans="1:16" x14ac:dyDescent="0.3">
      <c r="A143" s="24" t="str">
        <f t="shared" si="4"/>
        <v>Kim MacDonald</v>
      </c>
      <c r="B143" s="25">
        <f t="shared" si="5"/>
        <v>10</v>
      </c>
      <c r="C143" s="26" t="s">
        <v>390</v>
      </c>
      <c r="D143" s="26" t="s">
        <v>391</v>
      </c>
      <c r="E143" s="48" t="s">
        <v>392</v>
      </c>
      <c r="F143" s="49">
        <v>43896</v>
      </c>
      <c r="G143" s="26" t="s">
        <v>29</v>
      </c>
      <c r="H143" s="26" t="s">
        <v>58</v>
      </c>
      <c r="I143" s="26" t="s">
        <v>49</v>
      </c>
      <c r="J143" s="26" t="s">
        <v>12</v>
      </c>
      <c r="K143" s="26" t="s">
        <v>34</v>
      </c>
      <c r="L143" s="26" t="s">
        <v>66</v>
      </c>
      <c r="M143" s="26" t="s">
        <v>41</v>
      </c>
      <c r="N143" s="26" t="s">
        <v>16</v>
      </c>
      <c r="O143" s="26" t="s">
        <v>36</v>
      </c>
      <c r="P143" s="26" t="s">
        <v>15</v>
      </c>
    </row>
    <row r="144" spans="1:16" x14ac:dyDescent="0.3">
      <c r="A144" s="24" t="str">
        <f t="shared" si="4"/>
        <v>Kirsten Lee</v>
      </c>
      <c r="B144" s="25">
        <f t="shared" si="5"/>
        <v>5</v>
      </c>
      <c r="C144" s="26" t="s">
        <v>393</v>
      </c>
      <c r="D144" s="26" t="s">
        <v>394</v>
      </c>
      <c r="E144" s="27"/>
      <c r="F144" s="28">
        <v>43306</v>
      </c>
      <c r="G144" s="26" t="s">
        <v>14</v>
      </c>
      <c r="H144" s="26" t="s">
        <v>12</v>
      </c>
      <c r="I144" s="26" t="s">
        <v>29</v>
      </c>
      <c r="J144" s="26" t="s">
        <v>49</v>
      </c>
      <c r="K144" s="26" t="s">
        <v>15</v>
      </c>
      <c r="L144" s="26"/>
      <c r="M144" s="26"/>
      <c r="N144" s="26"/>
      <c r="O144" s="26"/>
      <c r="P144" s="26"/>
    </row>
    <row r="145" spans="1:16" x14ac:dyDescent="0.3">
      <c r="A145" s="24" t="str">
        <f t="shared" si="4"/>
        <v>Klara Payne</v>
      </c>
      <c r="B145" s="25">
        <f t="shared" si="5"/>
        <v>10</v>
      </c>
      <c r="C145" s="26" t="s">
        <v>395</v>
      </c>
      <c r="D145" s="26" t="s">
        <v>396</v>
      </c>
      <c r="E145" s="36" t="s">
        <v>397</v>
      </c>
      <c r="F145" s="37">
        <v>44649</v>
      </c>
      <c r="G145" s="26" t="s">
        <v>29</v>
      </c>
      <c r="H145" s="29" t="s">
        <v>18</v>
      </c>
      <c r="I145" s="29" t="s">
        <v>58</v>
      </c>
      <c r="J145" s="29" t="s">
        <v>19</v>
      </c>
      <c r="K145" s="26" t="s">
        <v>21</v>
      </c>
      <c r="L145" s="26" t="s">
        <v>13</v>
      </c>
      <c r="M145" s="26" t="s">
        <v>54</v>
      </c>
      <c r="N145" s="26" t="s">
        <v>14</v>
      </c>
      <c r="O145" s="26" t="s">
        <v>49</v>
      </c>
      <c r="P145" s="26" t="s">
        <v>73</v>
      </c>
    </row>
    <row r="146" spans="1:16" x14ac:dyDescent="0.3">
      <c r="A146" s="24" t="str">
        <f t="shared" si="4"/>
        <v>Ladan Odmidvar</v>
      </c>
      <c r="B146" s="25">
        <f t="shared" si="5"/>
        <v>10</v>
      </c>
      <c r="C146" s="29" t="s">
        <v>398</v>
      </c>
      <c r="D146" s="29" t="s">
        <v>399</v>
      </c>
      <c r="E146" s="42"/>
      <c r="F146" s="43"/>
      <c r="G146" s="29" t="s">
        <v>21</v>
      </c>
      <c r="H146" s="29" t="s">
        <v>14</v>
      </c>
      <c r="I146" s="29" t="s">
        <v>12</v>
      </c>
      <c r="J146" s="29" t="s">
        <v>95</v>
      </c>
      <c r="K146" s="29" t="s">
        <v>47</v>
      </c>
      <c r="L146" s="29" t="s">
        <v>28</v>
      </c>
      <c r="M146" s="29" t="s">
        <v>35</v>
      </c>
      <c r="N146" s="29" t="s">
        <v>29</v>
      </c>
      <c r="O146" s="29" t="s">
        <v>40</v>
      </c>
      <c r="P146" s="29" t="s">
        <v>41</v>
      </c>
    </row>
    <row r="147" spans="1:16" x14ac:dyDescent="0.3">
      <c r="A147" s="24" t="str">
        <f t="shared" si="4"/>
        <v>Lara Shaw</v>
      </c>
      <c r="B147" s="25">
        <f t="shared" si="5"/>
        <v>10</v>
      </c>
      <c r="C147" s="26" t="s">
        <v>400</v>
      </c>
      <c r="D147" s="26" t="s">
        <v>401</v>
      </c>
      <c r="E147" s="42"/>
      <c r="F147" s="43">
        <v>45328</v>
      </c>
      <c r="G147" s="29" t="s">
        <v>47</v>
      </c>
      <c r="H147" s="29" t="s">
        <v>66</v>
      </c>
      <c r="I147" s="29" t="s">
        <v>14</v>
      </c>
      <c r="J147" s="29" t="s">
        <v>37</v>
      </c>
      <c r="K147" s="29" t="s">
        <v>34</v>
      </c>
      <c r="L147" s="29" t="s">
        <v>36</v>
      </c>
      <c r="M147" s="29" t="s">
        <v>42</v>
      </c>
      <c r="N147" s="29" t="s">
        <v>29</v>
      </c>
      <c r="O147" s="29" t="s">
        <v>12</v>
      </c>
      <c r="P147" s="29" t="s">
        <v>15</v>
      </c>
    </row>
    <row r="148" spans="1:16" x14ac:dyDescent="0.3">
      <c r="A148" s="24" t="str">
        <f t="shared" si="4"/>
        <v>Laura May</v>
      </c>
      <c r="B148" s="25">
        <f t="shared" si="5"/>
        <v>10</v>
      </c>
      <c r="C148" s="26" t="s">
        <v>402</v>
      </c>
      <c r="D148" s="26" t="s">
        <v>403</v>
      </c>
      <c r="E148" s="42" t="s">
        <v>404</v>
      </c>
      <c r="F148" s="43">
        <v>43453</v>
      </c>
      <c r="G148" s="26" t="s">
        <v>41</v>
      </c>
      <c r="H148" s="26" t="s">
        <v>25</v>
      </c>
      <c r="I148" s="26" t="s">
        <v>21</v>
      </c>
      <c r="J148" s="26" t="s">
        <v>42</v>
      </c>
      <c r="K148" s="26" t="s">
        <v>66</v>
      </c>
      <c r="L148" s="26" t="s">
        <v>46</v>
      </c>
      <c r="M148" s="26" t="s">
        <v>12</v>
      </c>
      <c r="N148" s="26" t="s">
        <v>16</v>
      </c>
      <c r="O148" s="26" t="s">
        <v>19</v>
      </c>
      <c r="P148" s="26" t="s">
        <v>63</v>
      </c>
    </row>
    <row r="149" spans="1:16" x14ac:dyDescent="0.3">
      <c r="A149" s="24" t="str">
        <f t="shared" si="4"/>
        <v>Lauren Hancock</v>
      </c>
      <c r="B149" s="25">
        <f t="shared" si="5"/>
        <v>10</v>
      </c>
      <c r="C149" s="26" t="s">
        <v>405</v>
      </c>
      <c r="D149" s="26" t="s">
        <v>406</v>
      </c>
      <c r="E149" s="27" t="s">
        <v>407</v>
      </c>
      <c r="F149" s="31">
        <v>44162</v>
      </c>
      <c r="G149" s="26" t="s">
        <v>13</v>
      </c>
      <c r="H149" s="29" t="s">
        <v>29</v>
      </c>
      <c r="I149" s="29" t="s">
        <v>30</v>
      </c>
      <c r="J149" s="29" t="s">
        <v>42</v>
      </c>
      <c r="K149" s="29" t="s">
        <v>18</v>
      </c>
      <c r="L149" s="29" t="s">
        <v>14</v>
      </c>
      <c r="M149" s="29" t="s">
        <v>25</v>
      </c>
      <c r="N149" s="29" t="s">
        <v>36</v>
      </c>
      <c r="O149" s="29" t="s">
        <v>49</v>
      </c>
      <c r="P149" s="29" t="s">
        <v>15</v>
      </c>
    </row>
    <row r="150" spans="1:16" x14ac:dyDescent="0.3">
      <c r="A150" s="24" t="str">
        <f t="shared" si="4"/>
        <v>Lauren Hancock</v>
      </c>
      <c r="B150" s="25">
        <f t="shared" si="5"/>
        <v>10</v>
      </c>
      <c r="C150" s="26" t="s">
        <v>405</v>
      </c>
      <c r="D150" s="26" t="s">
        <v>406</v>
      </c>
      <c r="E150" s="44" t="s">
        <v>407</v>
      </c>
      <c r="F150" s="31">
        <v>44162</v>
      </c>
      <c r="G150" s="29" t="s">
        <v>13</v>
      </c>
      <c r="H150" s="29" t="s">
        <v>29</v>
      </c>
      <c r="I150" s="29" t="s">
        <v>30</v>
      </c>
      <c r="J150" s="29" t="s">
        <v>42</v>
      </c>
      <c r="K150" s="29" t="s">
        <v>18</v>
      </c>
      <c r="L150" s="29" t="s">
        <v>14</v>
      </c>
      <c r="M150" s="29" t="s">
        <v>25</v>
      </c>
      <c r="N150" s="29" t="s">
        <v>36</v>
      </c>
      <c r="O150" s="29" t="s">
        <v>49</v>
      </c>
      <c r="P150" s="29" t="s">
        <v>15</v>
      </c>
    </row>
    <row r="151" spans="1:16" x14ac:dyDescent="0.3">
      <c r="A151" s="24" t="str">
        <f t="shared" si="4"/>
        <v>Laurent Mas</v>
      </c>
      <c r="B151" s="25">
        <f t="shared" si="5"/>
        <v>10</v>
      </c>
      <c r="C151" s="26" t="s">
        <v>408</v>
      </c>
      <c r="D151" s="26" t="s">
        <v>409</v>
      </c>
      <c r="E151" s="36" t="s">
        <v>410</v>
      </c>
      <c r="F151" s="37"/>
      <c r="G151" s="26" t="s">
        <v>29</v>
      </c>
      <c r="H151" s="26" t="s">
        <v>19</v>
      </c>
      <c r="I151" s="26" t="s">
        <v>48</v>
      </c>
      <c r="J151" s="26" t="s">
        <v>14</v>
      </c>
      <c r="K151" s="26" t="s">
        <v>12</v>
      </c>
      <c r="L151" s="26" t="s">
        <v>18</v>
      </c>
      <c r="M151" s="26" t="s">
        <v>21</v>
      </c>
      <c r="N151" s="26" t="s">
        <v>26</v>
      </c>
      <c r="O151" s="26" t="s">
        <v>17</v>
      </c>
      <c r="P151" s="26" t="s">
        <v>42</v>
      </c>
    </row>
    <row r="152" spans="1:16" x14ac:dyDescent="0.3">
      <c r="A152" s="24" t="str">
        <f t="shared" si="4"/>
        <v>Leah Miranda</v>
      </c>
      <c r="B152" s="25">
        <f t="shared" si="5"/>
        <v>10</v>
      </c>
      <c r="C152" s="26" t="s">
        <v>411</v>
      </c>
      <c r="D152" s="26" t="s">
        <v>412</v>
      </c>
      <c r="E152" s="42" t="s">
        <v>413</v>
      </c>
      <c r="F152" s="43">
        <v>41420</v>
      </c>
      <c r="G152" s="26" t="s">
        <v>17</v>
      </c>
      <c r="H152" s="26" t="s">
        <v>25</v>
      </c>
      <c r="I152" s="26" t="s">
        <v>15</v>
      </c>
      <c r="J152" s="26" t="s">
        <v>41</v>
      </c>
      <c r="K152" s="26" t="s">
        <v>63</v>
      </c>
      <c r="L152" s="26" t="s">
        <v>27</v>
      </c>
      <c r="M152" s="26" t="s">
        <v>18</v>
      </c>
      <c r="N152" s="26" t="s">
        <v>13</v>
      </c>
      <c r="O152" s="26" t="s">
        <v>30</v>
      </c>
      <c r="P152" s="26" t="s">
        <v>21</v>
      </c>
    </row>
    <row r="153" spans="1:16" x14ac:dyDescent="0.3">
      <c r="A153" s="24" t="str">
        <f t="shared" si="4"/>
        <v>Leena Bergagnin</v>
      </c>
      <c r="B153" s="25">
        <f t="shared" si="5"/>
        <v>10</v>
      </c>
      <c r="C153" s="26" t="s">
        <v>414</v>
      </c>
      <c r="D153" s="26" t="s">
        <v>415</v>
      </c>
      <c r="E153" s="42" t="s">
        <v>416</v>
      </c>
      <c r="F153" s="43">
        <v>42821</v>
      </c>
      <c r="G153" s="26" t="s">
        <v>49</v>
      </c>
      <c r="H153" s="26" t="s">
        <v>16</v>
      </c>
      <c r="I153" s="26" t="s">
        <v>48</v>
      </c>
      <c r="J153" s="26" t="s">
        <v>35</v>
      </c>
      <c r="K153" s="26" t="s">
        <v>20</v>
      </c>
      <c r="L153" s="26" t="s">
        <v>63</v>
      </c>
      <c r="M153" s="26" t="s">
        <v>34</v>
      </c>
      <c r="N153" s="26" t="s">
        <v>18</v>
      </c>
      <c r="O153" s="26" t="s">
        <v>15</v>
      </c>
      <c r="P153" s="26" t="s">
        <v>30</v>
      </c>
    </row>
    <row r="154" spans="1:16" x14ac:dyDescent="0.3">
      <c r="A154" s="24" t="str">
        <f t="shared" si="4"/>
        <v>Leigh Parfitt</v>
      </c>
      <c r="B154" s="25">
        <f t="shared" si="5"/>
        <v>10</v>
      </c>
      <c r="C154" s="26" t="s">
        <v>417</v>
      </c>
      <c r="D154" s="26" t="s">
        <v>418</v>
      </c>
      <c r="E154" s="36" t="s">
        <v>419</v>
      </c>
      <c r="F154" s="37">
        <v>44839</v>
      </c>
      <c r="G154" s="26" t="s">
        <v>63</v>
      </c>
      <c r="H154" s="29" t="s">
        <v>47</v>
      </c>
      <c r="I154" s="29" t="s">
        <v>29</v>
      </c>
      <c r="J154" s="29" t="s">
        <v>17</v>
      </c>
      <c r="K154" s="29" t="s">
        <v>54</v>
      </c>
      <c r="L154" s="29" t="s">
        <v>41</v>
      </c>
      <c r="M154" s="29" t="s">
        <v>73</v>
      </c>
      <c r="N154" s="29" t="s">
        <v>34</v>
      </c>
      <c r="O154" s="29" t="s">
        <v>40</v>
      </c>
      <c r="P154" s="29" t="s">
        <v>30</v>
      </c>
    </row>
    <row r="155" spans="1:16" x14ac:dyDescent="0.3">
      <c r="A155" s="24" t="str">
        <f t="shared" si="4"/>
        <v>Lily Newbold</v>
      </c>
      <c r="B155" s="25">
        <f t="shared" si="5"/>
        <v>10</v>
      </c>
      <c r="C155" s="30" t="s">
        <v>420</v>
      </c>
      <c r="D155" s="30" t="s">
        <v>421</v>
      </c>
      <c r="E155" s="27" t="s">
        <v>422</v>
      </c>
      <c r="F155" s="31">
        <v>45033</v>
      </c>
      <c r="G155" s="26" t="s">
        <v>13</v>
      </c>
      <c r="H155" s="26" t="s">
        <v>48</v>
      </c>
      <c r="I155" s="26" t="s">
        <v>54</v>
      </c>
      <c r="J155" s="26" t="s">
        <v>46</v>
      </c>
      <c r="K155" s="26" t="s">
        <v>47</v>
      </c>
      <c r="L155" s="26" t="s">
        <v>49</v>
      </c>
      <c r="M155" s="26" t="s">
        <v>95</v>
      </c>
      <c r="N155" s="26" t="s">
        <v>18</v>
      </c>
      <c r="O155" s="26" t="s">
        <v>41</v>
      </c>
      <c r="P155" s="26" t="s">
        <v>28</v>
      </c>
    </row>
    <row r="156" spans="1:16" x14ac:dyDescent="0.3">
      <c r="A156" s="24" t="str">
        <f t="shared" si="4"/>
        <v>Lisa Dos Santos</v>
      </c>
      <c r="B156" s="25">
        <f t="shared" si="5"/>
        <v>10</v>
      </c>
      <c r="C156" s="30" t="s">
        <v>423</v>
      </c>
      <c r="D156" s="30" t="s">
        <v>424</v>
      </c>
      <c r="E156" s="42" t="s">
        <v>425</v>
      </c>
      <c r="F156" s="43" t="s">
        <v>426</v>
      </c>
      <c r="G156" s="29" t="s">
        <v>12</v>
      </c>
      <c r="H156" s="29" t="s">
        <v>21</v>
      </c>
      <c r="I156" s="29" t="s">
        <v>41</v>
      </c>
      <c r="J156" s="29" t="s">
        <v>42</v>
      </c>
      <c r="K156" s="29" t="s">
        <v>49</v>
      </c>
      <c r="L156" s="29" t="s">
        <v>15</v>
      </c>
      <c r="M156" s="29" t="s">
        <v>14</v>
      </c>
      <c r="N156" s="29" t="s">
        <v>25</v>
      </c>
      <c r="O156" s="29" t="s">
        <v>30</v>
      </c>
      <c r="P156" s="29" t="s">
        <v>73</v>
      </c>
    </row>
    <row r="157" spans="1:16" x14ac:dyDescent="0.3">
      <c r="A157" s="24" t="str">
        <f t="shared" si="4"/>
        <v>Lisa Rigo</v>
      </c>
      <c r="B157" s="25">
        <f t="shared" si="5"/>
        <v>10</v>
      </c>
      <c r="C157" s="26" t="s">
        <v>423</v>
      </c>
      <c r="D157" s="26" t="s">
        <v>427</v>
      </c>
      <c r="E157" s="42" t="s">
        <v>428</v>
      </c>
      <c r="F157" s="37">
        <v>44128</v>
      </c>
      <c r="G157" s="26" t="s">
        <v>20</v>
      </c>
      <c r="H157" s="26" t="s">
        <v>34</v>
      </c>
      <c r="I157" s="26" t="s">
        <v>35</v>
      </c>
      <c r="J157" s="26" t="s">
        <v>37</v>
      </c>
      <c r="K157" s="26" t="s">
        <v>25</v>
      </c>
      <c r="L157" s="26" t="s">
        <v>58</v>
      </c>
      <c r="M157" s="26" t="s">
        <v>63</v>
      </c>
      <c r="N157" s="26" t="s">
        <v>16</v>
      </c>
      <c r="O157" s="26" t="s">
        <v>27</v>
      </c>
      <c r="P157" s="26" t="s">
        <v>28</v>
      </c>
    </row>
    <row r="158" spans="1:16" x14ac:dyDescent="0.3">
      <c r="A158" s="24" t="str">
        <f t="shared" si="4"/>
        <v>Louise Edgerton</v>
      </c>
      <c r="B158" s="25">
        <f t="shared" si="5"/>
        <v>10</v>
      </c>
      <c r="C158" s="32" t="s">
        <v>429</v>
      </c>
      <c r="D158" s="32" t="s">
        <v>430</v>
      </c>
      <c r="E158" s="33" t="s">
        <v>431</v>
      </c>
      <c r="F158" s="31">
        <v>45111</v>
      </c>
      <c r="G158" s="32" t="s">
        <v>15</v>
      </c>
      <c r="H158" s="32" t="s">
        <v>95</v>
      </c>
      <c r="I158" s="32" t="s">
        <v>63</v>
      </c>
      <c r="J158" s="32" t="s">
        <v>12</v>
      </c>
      <c r="K158" s="32" t="s">
        <v>18</v>
      </c>
      <c r="L158" s="26" t="s">
        <v>14</v>
      </c>
      <c r="M158" s="26" t="s">
        <v>17</v>
      </c>
      <c r="N158" s="26" t="s">
        <v>34</v>
      </c>
      <c r="O158" s="26" t="s">
        <v>37</v>
      </c>
      <c r="P158" s="26" t="s">
        <v>46</v>
      </c>
    </row>
    <row r="159" spans="1:16" x14ac:dyDescent="0.3">
      <c r="A159" s="24" t="str">
        <f t="shared" si="4"/>
        <v>Louise Mulqueen</v>
      </c>
      <c r="B159" s="25">
        <f t="shared" si="5"/>
        <v>5</v>
      </c>
      <c r="C159" s="26" t="s">
        <v>429</v>
      </c>
      <c r="D159" s="26" t="s">
        <v>432</v>
      </c>
      <c r="E159" s="42" t="s">
        <v>433</v>
      </c>
      <c r="F159" s="43">
        <v>43193</v>
      </c>
      <c r="G159" s="26" t="s">
        <v>18</v>
      </c>
      <c r="H159" s="26" t="s">
        <v>19</v>
      </c>
      <c r="I159" s="26" t="s">
        <v>21</v>
      </c>
      <c r="J159" s="26" t="s">
        <v>46</v>
      </c>
      <c r="K159" s="26" t="s">
        <v>42</v>
      </c>
      <c r="L159" s="26"/>
      <c r="M159" s="26"/>
      <c r="N159" s="26"/>
      <c r="O159" s="26"/>
      <c r="P159" s="26"/>
    </row>
    <row r="160" spans="1:16" x14ac:dyDescent="0.3">
      <c r="A160" s="24" t="str">
        <f t="shared" si="4"/>
        <v>louise Vanderfield</v>
      </c>
      <c r="B160" s="25">
        <f t="shared" si="5"/>
        <v>5</v>
      </c>
      <c r="C160" s="26" t="s">
        <v>434</v>
      </c>
      <c r="D160" s="26" t="s">
        <v>435</v>
      </c>
      <c r="E160" s="42" t="s">
        <v>436</v>
      </c>
      <c r="F160" s="43">
        <v>43320</v>
      </c>
      <c r="G160" s="26" t="s">
        <v>14</v>
      </c>
      <c r="H160" s="26" t="s">
        <v>66</v>
      </c>
      <c r="I160" s="26" t="s">
        <v>12</v>
      </c>
      <c r="J160" s="26" t="s">
        <v>15</v>
      </c>
      <c r="K160" s="26" t="s">
        <v>42</v>
      </c>
      <c r="L160" s="26"/>
      <c r="M160" s="26"/>
      <c r="N160" s="26"/>
      <c r="O160" s="26"/>
      <c r="P160" s="26"/>
    </row>
    <row r="161" spans="1:16" x14ac:dyDescent="0.3">
      <c r="A161" s="24" t="str">
        <f t="shared" si="4"/>
        <v>Luke Nisbett</v>
      </c>
      <c r="B161" s="25">
        <f t="shared" si="5"/>
        <v>5</v>
      </c>
      <c r="C161" s="26" t="s">
        <v>437</v>
      </c>
      <c r="D161" s="26" t="s">
        <v>438</v>
      </c>
      <c r="E161" s="27"/>
      <c r="F161" s="28">
        <v>43306</v>
      </c>
      <c r="G161" s="26" t="s">
        <v>26</v>
      </c>
      <c r="H161" s="26" t="s">
        <v>50</v>
      </c>
      <c r="I161" s="26" t="s">
        <v>21</v>
      </c>
      <c r="J161" s="26" t="s">
        <v>66</v>
      </c>
      <c r="K161" s="26" t="s">
        <v>73</v>
      </c>
      <c r="L161" s="26"/>
      <c r="M161" s="26"/>
      <c r="N161" s="26"/>
      <c r="O161" s="26"/>
      <c r="P161" s="26"/>
    </row>
    <row r="162" spans="1:16" x14ac:dyDescent="0.3">
      <c r="A162" s="24" t="str">
        <f t="shared" si="4"/>
        <v xml:space="preserve">Ma. Lou Erika  Balite </v>
      </c>
      <c r="B162" s="25">
        <f t="shared" si="5"/>
        <v>10</v>
      </c>
      <c r="C162" s="38" t="s">
        <v>439</v>
      </c>
      <c r="D162" s="38" t="s">
        <v>440</v>
      </c>
      <c r="E162" s="38" t="s">
        <v>441</v>
      </c>
      <c r="F162" s="41">
        <v>45695</v>
      </c>
      <c r="G162" s="34" t="s">
        <v>15</v>
      </c>
      <c r="H162" s="34" t="s">
        <v>50</v>
      </c>
      <c r="I162" s="34" t="s">
        <v>37</v>
      </c>
      <c r="J162" s="34" t="s">
        <v>14</v>
      </c>
      <c r="K162" s="34" t="s">
        <v>25</v>
      </c>
      <c r="L162" s="34" t="s">
        <v>66</v>
      </c>
      <c r="M162" s="34" t="s">
        <v>34</v>
      </c>
      <c r="N162" s="34" t="s">
        <v>42</v>
      </c>
      <c r="O162" s="34" t="s">
        <v>29</v>
      </c>
      <c r="P162" s="34" t="s">
        <v>49</v>
      </c>
    </row>
    <row r="163" spans="1:16" x14ac:dyDescent="0.3">
      <c r="A163" s="24" t="str">
        <f t="shared" si="4"/>
        <v>Malcolm 2 Joosse</v>
      </c>
      <c r="B163" s="25">
        <f t="shared" si="5"/>
        <v>10</v>
      </c>
      <c r="C163" s="29" t="s">
        <v>442</v>
      </c>
      <c r="D163" s="29" t="s">
        <v>60</v>
      </c>
      <c r="E163" s="27" t="s">
        <v>443</v>
      </c>
      <c r="F163" s="31">
        <v>45077</v>
      </c>
      <c r="G163" s="26" t="s">
        <v>18</v>
      </c>
      <c r="H163" s="26" t="s">
        <v>58</v>
      </c>
      <c r="I163" s="26" t="s">
        <v>17</v>
      </c>
      <c r="J163" s="26" t="s">
        <v>29</v>
      </c>
      <c r="K163" s="26" t="s">
        <v>15</v>
      </c>
      <c r="L163" s="26" t="s">
        <v>27</v>
      </c>
      <c r="M163" s="26" t="s">
        <v>19</v>
      </c>
      <c r="N163" s="26" t="s">
        <v>50</v>
      </c>
      <c r="O163" s="26" t="s">
        <v>42</v>
      </c>
      <c r="P163" s="26" t="s">
        <v>25</v>
      </c>
    </row>
    <row r="164" spans="1:16" x14ac:dyDescent="0.3">
      <c r="A164" s="24" t="str">
        <f t="shared" si="4"/>
        <v>Malcolm Joosse</v>
      </c>
      <c r="B164" s="25">
        <f t="shared" si="5"/>
        <v>10</v>
      </c>
      <c r="C164" s="26" t="s">
        <v>444</v>
      </c>
      <c r="D164" s="26" t="s">
        <v>60</v>
      </c>
      <c r="E164" s="42" t="s">
        <v>445</v>
      </c>
      <c r="F164" s="43">
        <v>43535</v>
      </c>
      <c r="G164" s="26" t="s">
        <v>18</v>
      </c>
      <c r="H164" s="26" t="s">
        <v>25</v>
      </c>
      <c r="I164" s="26" t="s">
        <v>29</v>
      </c>
      <c r="J164" s="26" t="s">
        <v>49</v>
      </c>
      <c r="K164" s="26" t="s">
        <v>15</v>
      </c>
      <c r="L164" s="26" t="s">
        <v>12</v>
      </c>
      <c r="M164" s="26" t="s">
        <v>17</v>
      </c>
      <c r="N164" s="26" t="s">
        <v>58</v>
      </c>
      <c r="O164" s="26" t="s">
        <v>13</v>
      </c>
      <c r="P164" s="26" t="s">
        <v>54</v>
      </c>
    </row>
    <row r="165" spans="1:16" x14ac:dyDescent="0.3">
      <c r="A165" s="24" t="str">
        <f t="shared" si="4"/>
        <v>Mamta Agarwal</v>
      </c>
      <c r="B165" s="25">
        <f t="shared" si="5"/>
        <v>10</v>
      </c>
      <c r="C165" s="26" t="s">
        <v>446</v>
      </c>
      <c r="D165" s="26" t="s">
        <v>447</v>
      </c>
      <c r="E165" s="42" t="s">
        <v>448</v>
      </c>
      <c r="F165" s="43">
        <v>43535</v>
      </c>
      <c r="G165" s="26" t="s">
        <v>34</v>
      </c>
      <c r="H165" s="26" t="s">
        <v>18</v>
      </c>
      <c r="I165" s="26" t="s">
        <v>29</v>
      </c>
      <c r="J165" s="26" t="s">
        <v>20</v>
      </c>
      <c r="K165" s="26" t="s">
        <v>48</v>
      </c>
      <c r="L165" s="26" t="s">
        <v>46</v>
      </c>
      <c r="M165" s="26" t="s">
        <v>12</v>
      </c>
      <c r="N165" s="26" t="s">
        <v>66</v>
      </c>
      <c r="O165" s="26" t="s">
        <v>37</v>
      </c>
      <c r="P165" s="26" t="s">
        <v>54</v>
      </c>
    </row>
    <row r="166" spans="1:16" x14ac:dyDescent="0.3">
      <c r="A166" s="24" t="str">
        <f t="shared" si="4"/>
        <v>Marcelo Rezende</v>
      </c>
      <c r="B166" s="25">
        <f t="shared" si="5"/>
        <v>10</v>
      </c>
      <c r="C166" s="29" t="s">
        <v>449</v>
      </c>
      <c r="D166" s="29" t="s">
        <v>355</v>
      </c>
      <c r="E166" s="42"/>
      <c r="F166" s="43"/>
      <c r="G166" s="29" t="s">
        <v>34</v>
      </c>
      <c r="H166" s="29" t="s">
        <v>37</v>
      </c>
      <c r="I166" s="29" t="s">
        <v>35</v>
      </c>
      <c r="J166" s="29" t="s">
        <v>40</v>
      </c>
      <c r="K166" s="29" t="s">
        <v>16</v>
      </c>
      <c r="L166" s="29" t="s">
        <v>15</v>
      </c>
      <c r="M166" s="29" t="s">
        <v>20</v>
      </c>
      <c r="N166" s="29" t="s">
        <v>29</v>
      </c>
      <c r="O166" s="29" t="s">
        <v>14</v>
      </c>
      <c r="P166" s="29" t="s">
        <v>47</v>
      </c>
    </row>
    <row r="167" spans="1:16" x14ac:dyDescent="0.3">
      <c r="A167" s="24" t="str">
        <f t="shared" si="4"/>
        <v>Marcus Vozzo</v>
      </c>
      <c r="B167" s="25">
        <f t="shared" si="5"/>
        <v>10</v>
      </c>
      <c r="C167" s="29" t="s">
        <v>450</v>
      </c>
      <c r="D167" s="29" t="s">
        <v>451</v>
      </c>
      <c r="E167" s="42"/>
      <c r="F167" s="43"/>
      <c r="G167" s="29" t="s">
        <v>18</v>
      </c>
      <c r="H167" s="29" t="s">
        <v>47</v>
      </c>
      <c r="I167" s="29" t="s">
        <v>46</v>
      </c>
      <c r="J167" s="29" t="s">
        <v>63</v>
      </c>
      <c r="K167" s="29" t="s">
        <v>15</v>
      </c>
      <c r="L167" s="29" t="s">
        <v>54</v>
      </c>
      <c r="M167" s="29" t="s">
        <v>13</v>
      </c>
      <c r="N167" s="29" t="s">
        <v>14</v>
      </c>
      <c r="O167" s="29" t="s">
        <v>26</v>
      </c>
      <c r="P167" s="29" t="s">
        <v>40</v>
      </c>
    </row>
    <row r="168" spans="1:16" x14ac:dyDescent="0.3">
      <c r="A168" s="24" t="str">
        <f t="shared" si="4"/>
        <v>Mardi Grivas</v>
      </c>
      <c r="B168" s="25">
        <f t="shared" si="5"/>
        <v>10</v>
      </c>
      <c r="C168" s="26" t="s">
        <v>452</v>
      </c>
      <c r="D168" s="26" t="s">
        <v>453</v>
      </c>
      <c r="E168" s="27" t="s">
        <v>454</v>
      </c>
      <c r="F168" s="31" t="s">
        <v>455</v>
      </c>
      <c r="G168" s="29" t="s">
        <v>58</v>
      </c>
      <c r="H168" s="29" t="s">
        <v>46</v>
      </c>
      <c r="I168" s="29" t="s">
        <v>48</v>
      </c>
      <c r="J168" s="29" t="s">
        <v>13</v>
      </c>
      <c r="K168" s="29" t="s">
        <v>30</v>
      </c>
      <c r="L168" s="29" t="s">
        <v>49</v>
      </c>
      <c r="M168" s="29" t="s">
        <v>28</v>
      </c>
      <c r="N168" s="29" t="s">
        <v>66</v>
      </c>
      <c r="O168" s="29" t="s">
        <v>18</v>
      </c>
      <c r="P168" s="29" t="s">
        <v>16</v>
      </c>
    </row>
    <row r="169" spans="1:16" x14ac:dyDescent="0.3">
      <c r="A169" s="24" t="str">
        <f t="shared" si="4"/>
        <v>Margaret Coyne</v>
      </c>
      <c r="B169" s="25">
        <f t="shared" si="5"/>
        <v>10</v>
      </c>
      <c r="C169" s="30" t="s">
        <v>456</v>
      </c>
      <c r="D169" s="30" t="s">
        <v>457</v>
      </c>
      <c r="E169" s="27" t="s">
        <v>458</v>
      </c>
      <c r="F169" s="31" t="s">
        <v>124</v>
      </c>
      <c r="G169" s="29" t="s">
        <v>37</v>
      </c>
      <c r="H169" s="29" t="s">
        <v>34</v>
      </c>
      <c r="I169" s="29" t="s">
        <v>29</v>
      </c>
      <c r="J169" s="29" t="s">
        <v>50</v>
      </c>
      <c r="K169" s="29" t="s">
        <v>18</v>
      </c>
      <c r="L169" s="29" t="s">
        <v>20</v>
      </c>
      <c r="M169" s="29" t="s">
        <v>16</v>
      </c>
      <c r="N169" s="29" t="s">
        <v>19</v>
      </c>
      <c r="O169" s="29" t="s">
        <v>42</v>
      </c>
      <c r="P169" s="29" t="s">
        <v>54</v>
      </c>
    </row>
    <row r="170" spans="1:16" x14ac:dyDescent="0.3">
      <c r="A170" s="24" t="str">
        <f t="shared" si="4"/>
        <v>Marie Arthur</v>
      </c>
      <c r="B170" s="25">
        <f t="shared" si="5"/>
        <v>10</v>
      </c>
      <c r="C170" s="26" t="s">
        <v>459</v>
      </c>
      <c r="D170" s="26" t="s">
        <v>460</v>
      </c>
      <c r="E170" s="42" t="s">
        <v>461</v>
      </c>
      <c r="F170" s="43">
        <v>43712</v>
      </c>
      <c r="G170" s="26" t="s">
        <v>28</v>
      </c>
      <c r="H170" s="26" t="s">
        <v>34</v>
      </c>
      <c r="I170" s="26" t="s">
        <v>49</v>
      </c>
      <c r="J170" s="26" t="s">
        <v>37</v>
      </c>
      <c r="K170" s="26" t="s">
        <v>14</v>
      </c>
      <c r="L170" s="26" t="s">
        <v>16</v>
      </c>
      <c r="M170" s="26" t="s">
        <v>48</v>
      </c>
      <c r="N170" s="26" t="s">
        <v>18</v>
      </c>
      <c r="O170" s="26" t="s">
        <v>66</v>
      </c>
      <c r="P170" s="26" t="s">
        <v>41</v>
      </c>
    </row>
    <row r="171" spans="1:16" x14ac:dyDescent="0.3">
      <c r="A171" s="24" t="str">
        <f t="shared" si="4"/>
        <v>Marivic Borromeo</v>
      </c>
      <c r="B171" s="25">
        <f t="shared" si="5"/>
        <v>10</v>
      </c>
      <c r="C171" s="26" t="s">
        <v>462</v>
      </c>
      <c r="D171" s="26" t="s">
        <v>463</v>
      </c>
      <c r="E171" s="42" t="s">
        <v>464</v>
      </c>
      <c r="F171" s="43">
        <v>43615</v>
      </c>
      <c r="G171" s="26" t="s">
        <v>48</v>
      </c>
      <c r="H171" s="26" t="s">
        <v>14</v>
      </c>
      <c r="I171" s="26" t="s">
        <v>49</v>
      </c>
      <c r="J171" s="26" t="s">
        <v>28</v>
      </c>
      <c r="K171" s="26" t="s">
        <v>20</v>
      </c>
      <c r="L171" s="26" t="s">
        <v>27</v>
      </c>
      <c r="M171" s="26" t="s">
        <v>25</v>
      </c>
      <c r="N171" s="26" t="s">
        <v>30</v>
      </c>
      <c r="O171" s="26" t="s">
        <v>66</v>
      </c>
      <c r="P171" s="26" t="s">
        <v>37</v>
      </c>
    </row>
    <row r="172" spans="1:16" x14ac:dyDescent="0.3">
      <c r="A172" s="24" t="str">
        <f t="shared" si="4"/>
        <v>Marivic Perdido</v>
      </c>
      <c r="B172" s="25">
        <f t="shared" si="5"/>
        <v>10</v>
      </c>
      <c r="C172" s="26" t="s">
        <v>462</v>
      </c>
      <c r="D172" s="26" t="s">
        <v>465</v>
      </c>
      <c r="E172" s="36" t="s">
        <v>466</v>
      </c>
      <c r="F172" s="37">
        <v>44460</v>
      </c>
      <c r="G172" s="29" t="s">
        <v>15</v>
      </c>
      <c r="H172" s="26" t="s">
        <v>46</v>
      </c>
      <c r="I172" s="29" t="s">
        <v>17</v>
      </c>
      <c r="J172" s="29" t="s">
        <v>63</v>
      </c>
      <c r="K172" s="29" t="s">
        <v>13</v>
      </c>
      <c r="L172" s="29" t="s">
        <v>41</v>
      </c>
      <c r="M172" s="29" t="s">
        <v>48</v>
      </c>
      <c r="N172" s="29" t="s">
        <v>18</v>
      </c>
      <c r="O172" s="29" t="s">
        <v>25</v>
      </c>
      <c r="P172" s="29" t="s">
        <v>19</v>
      </c>
    </row>
    <row r="173" spans="1:16" x14ac:dyDescent="0.3">
      <c r="A173" s="24" t="str">
        <f t="shared" si="4"/>
        <v>Mark Apthorpe</v>
      </c>
      <c r="B173" s="25">
        <f t="shared" si="5"/>
        <v>10</v>
      </c>
      <c r="C173" s="26" t="s">
        <v>467</v>
      </c>
      <c r="D173" s="26" t="s">
        <v>468</v>
      </c>
      <c r="E173" s="42" t="s">
        <v>469</v>
      </c>
      <c r="F173" s="43">
        <v>43611</v>
      </c>
      <c r="G173" s="26" t="s">
        <v>17</v>
      </c>
      <c r="H173" s="26" t="s">
        <v>54</v>
      </c>
      <c r="I173" s="26" t="s">
        <v>40</v>
      </c>
      <c r="J173" s="26" t="s">
        <v>48</v>
      </c>
      <c r="K173" s="26" t="s">
        <v>66</v>
      </c>
      <c r="L173" s="26" t="s">
        <v>63</v>
      </c>
      <c r="M173" s="26" t="s">
        <v>37</v>
      </c>
      <c r="N173" s="26" t="s">
        <v>34</v>
      </c>
      <c r="O173" s="26" t="s">
        <v>15</v>
      </c>
      <c r="P173" s="26" t="s">
        <v>95</v>
      </c>
    </row>
    <row r="174" spans="1:16" x14ac:dyDescent="0.3">
      <c r="A174" s="24" t="str">
        <f t="shared" si="4"/>
        <v>Mark Chan</v>
      </c>
      <c r="B174" s="25">
        <f t="shared" si="5"/>
        <v>10</v>
      </c>
      <c r="C174" s="26" t="s">
        <v>467</v>
      </c>
      <c r="D174" s="26" t="s">
        <v>352</v>
      </c>
      <c r="E174" s="36" t="s">
        <v>470</v>
      </c>
      <c r="F174" s="37">
        <v>44309</v>
      </c>
      <c r="G174" s="26" t="s">
        <v>35</v>
      </c>
      <c r="H174" s="26" t="s">
        <v>63</v>
      </c>
      <c r="I174" s="26" t="s">
        <v>34</v>
      </c>
      <c r="J174" s="26" t="s">
        <v>17</v>
      </c>
      <c r="K174" s="26" t="s">
        <v>37</v>
      </c>
      <c r="L174" s="26" t="s">
        <v>47</v>
      </c>
      <c r="M174" s="26" t="s">
        <v>66</v>
      </c>
      <c r="N174" s="26" t="s">
        <v>54</v>
      </c>
      <c r="O174" s="26" t="s">
        <v>27</v>
      </c>
      <c r="P174" s="26" t="s">
        <v>42</v>
      </c>
    </row>
    <row r="175" spans="1:16" x14ac:dyDescent="0.3">
      <c r="A175" s="24" t="str">
        <f t="shared" si="4"/>
        <v>Mark Fletcher</v>
      </c>
      <c r="B175" s="25">
        <f t="shared" si="5"/>
        <v>10</v>
      </c>
      <c r="C175" s="26" t="s">
        <v>467</v>
      </c>
      <c r="D175" s="26" t="s">
        <v>471</v>
      </c>
      <c r="E175" s="42" t="s">
        <v>472</v>
      </c>
      <c r="F175" s="43">
        <v>43621</v>
      </c>
      <c r="G175" s="26" t="s">
        <v>46</v>
      </c>
      <c r="H175" s="26" t="s">
        <v>49</v>
      </c>
      <c r="I175" s="26" t="s">
        <v>14</v>
      </c>
      <c r="J175" s="26" t="s">
        <v>40</v>
      </c>
      <c r="K175" s="26" t="s">
        <v>15</v>
      </c>
      <c r="L175" s="26" t="s">
        <v>16</v>
      </c>
      <c r="M175" s="26" t="s">
        <v>34</v>
      </c>
      <c r="N175" s="26" t="s">
        <v>12</v>
      </c>
      <c r="O175" s="26" t="s">
        <v>37</v>
      </c>
      <c r="P175" s="26" t="s">
        <v>36</v>
      </c>
    </row>
    <row r="176" spans="1:16" x14ac:dyDescent="0.3">
      <c r="A176" s="24" t="str">
        <f t="shared" si="4"/>
        <v>Mark Stockdale</v>
      </c>
      <c r="B176" s="25">
        <f t="shared" si="5"/>
        <v>10</v>
      </c>
      <c r="C176" s="26" t="s">
        <v>467</v>
      </c>
      <c r="D176" s="26" t="s">
        <v>473</v>
      </c>
      <c r="E176" s="36" t="s">
        <v>474</v>
      </c>
      <c r="F176" s="37">
        <v>44584</v>
      </c>
      <c r="G176" s="29" t="s">
        <v>49</v>
      </c>
      <c r="H176" s="26" t="s">
        <v>46</v>
      </c>
      <c r="I176" s="29" t="s">
        <v>30</v>
      </c>
      <c r="J176" s="29" t="s">
        <v>34</v>
      </c>
      <c r="K176" s="26" t="s">
        <v>48</v>
      </c>
      <c r="L176" s="26" t="s">
        <v>14</v>
      </c>
      <c r="M176" s="26" t="s">
        <v>20</v>
      </c>
      <c r="N176" s="26" t="s">
        <v>58</v>
      </c>
      <c r="O176" s="26" t="s">
        <v>28</v>
      </c>
      <c r="P176" s="26" t="s">
        <v>25</v>
      </c>
    </row>
    <row r="177" spans="1:16" x14ac:dyDescent="0.3">
      <c r="A177" s="24" t="str">
        <f t="shared" si="4"/>
        <v>Mary Nguyen</v>
      </c>
      <c r="B177" s="25">
        <f t="shared" si="5"/>
        <v>10</v>
      </c>
      <c r="C177" s="29" t="s">
        <v>475</v>
      </c>
      <c r="D177" s="29" t="s">
        <v>476</v>
      </c>
      <c r="E177" s="42" t="s">
        <v>477</v>
      </c>
      <c r="F177" s="43" t="s">
        <v>249</v>
      </c>
      <c r="G177" s="29" t="s">
        <v>49</v>
      </c>
      <c r="H177" s="29" t="s">
        <v>46</v>
      </c>
      <c r="I177" s="29" t="s">
        <v>47</v>
      </c>
      <c r="J177" s="29" t="s">
        <v>30</v>
      </c>
      <c r="K177" s="29" t="s">
        <v>37</v>
      </c>
      <c r="L177" s="29" t="s">
        <v>66</v>
      </c>
      <c r="M177" s="29" t="s">
        <v>35</v>
      </c>
      <c r="N177" s="29" t="s">
        <v>16</v>
      </c>
      <c r="O177" s="29" t="s">
        <v>34</v>
      </c>
      <c r="P177" s="29" t="s">
        <v>28</v>
      </c>
    </row>
    <row r="178" spans="1:16" x14ac:dyDescent="0.3">
      <c r="A178" s="24" t="str">
        <f t="shared" si="4"/>
        <v>Matthew Davis</v>
      </c>
      <c r="B178" s="25">
        <f t="shared" si="5"/>
        <v>10</v>
      </c>
      <c r="C178" s="32" t="s">
        <v>478</v>
      </c>
      <c r="D178" s="32" t="s">
        <v>479</v>
      </c>
      <c r="E178" s="33" t="s">
        <v>480</v>
      </c>
      <c r="F178" s="31">
        <v>45033</v>
      </c>
      <c r="G178" s="32" t="s">
        <v>54</v>
      </c>
      <c r="H178" s="32" t="s">
        <v>17</v>
      </c>
      <c r="I178" s="32" t="s">
        <v>58</v>
      </c>
      <c r="J178" s="32" t="s">
        <v>66</v>
      </c>
      <c r="K178" s="32" t="s">
        <v>73</v>
      </c>
      <c r="L178" s="26" t="s">
        <v>47</v>
      </c>
      <c r="M178" s="26" t="s">
        <v>34</v>
      </c>
      <c r="N178" s="26" t="s">
        <v>37</v>
      </c>
      <c r="O178" s="26" t="s">
        <v>35</v>
      </c>
      <c r="P178" s="26" t="s">
        <v>18</v>
      </c>
    </row>
    <row r="179" spans="1:16" x14ac:dyDescent="0.3">
      <c r="A179" s="24" t="str">
        <f t="shared" si="4"/>
        <v>Maureen Madden</v>
      </c>
      <c r="B179" s="25">
        <f t="shared" si="5"/>
        <v>10</v>
      </c>
      <c r="C179" s="26" t="s">
        <v>481</v>
      </c>
      <c r="D179" s="26" t="s">
        <v>482</v>
      </c>
      <c r="E179" s="42" t="s">
        <v>483</v>
      </c>
      <c r="F179" s="43">
        <v>43340</v>
      </c>
      <c r="G179" s="26" t="s">
        <v>12</v>
      </c>
      <c r="H179" s="26" t="s">
        <v>14</v>
      </c>
      <c r="I179" s="26" t="s">
        <v>21</v>
      </c>
      <c r="J179" s="26" t="s">
        <v>34</v>
      </c>
      <c r="K179" s="26" t="s">
        <v>29</v>
      </c>
      <c r="L179" s="26" t="s">
        <v>36</v>
      </c>
      <c r="M179" s="26" t="s">
        <v>25</v>
      </c>
      <c r="N179" s="26" t="s">
        <v>41</v>
      </c>
      <c r="O179" s="26" t="s">
        <v>16</v>
      </c>
      <c r="P179" s="26" t="s">
        <v>42</v>
      </c>
    </row>
    <row r="180" spans="1:16" x14ac:dyDescent="0.3">
      <c r="A180" s="24" t="str">
        <f t="shared" si="4"/>
        <v>Max Scott</v>
      </c>
      <c r="B180" s="25">
        <f t="shared" si="5"/>
        <v>10</v>
      </c>
      <c r="C180" s="47" t="s">
        <v>484</v>
      </c>
      <c r="D180" s="47" t="s">
        <v>109</v>
      </c>
      <c r="E180" s="36" t="s">
        <v>485</v>
      </c>
      <c r="F180" s="37">
        <v>44617</v>
      </c>
      <c r="G180" s="26" t="s">
        <v>16</v>
      </c>
      <c r="H180" s="29" t="s">
        <v>35</v>
      </c>
      <c r="I180" s="29" t="s">
        <v>20</v>
      </c>
      <c r="J180" s="29" t="s">
        <v>58</v>
      </c>
      <c r="K180" s="26" t="s">
        <v>54</v>
      </c>
      <c r="L180" s="26" t="s">
        <v>29</v>
      </c>
      <c r="M180" s="26" t="s">
        <v>47</v>
      </c>
      <c r="N180" s="26" t="s">
        <v>36</v>
      </c>
      <c r="O180" s="26" t="s">
        <v>34</v>
      </c>
      <c r="P180" s="26" t="s">
        <v>27</v>
      </c>
    </row>
    <row r="181" spans="1:16" x14ac:dyDescent="0.3">
      <c r="A181" s="24" t="str">
        <f t="shared" si="4"/>
        <v>Melanie Yarnall</v>
      </c>
      <c r="B181" s="25">
        <f t="shared" si="5"/>
        <v>10</v>
      </c>
      <c r="C181" s="30" t="s">
        <v>486</v>
      </c>
      <c r="D181" s="30" t="s">
        <v>487</v>
      </c>
      <c r="E181" s="27" t="s">
        <v>488</v>
      </c>
      <c r="F181" s="28" t="s">
        <v>489</v>
      </c>
      <c r="G181" s="29" t="s">
        <v>49</v>
      </c>
      <c r="H181" s="29" t="s">
        <v>30</v>
      </c>
      <c r="I181" s="29" t="s">
        <v>63</v>
      </c>
      <c r="J181" s="29" t="s">
        <v>14</v>
      </c>
      <c r="K181" s="29" t="s">
        <v>13</v>
      </c>
      <c r="L181" s="29" t="s">
        <v>47</v>
      </c>
      <c r="M181" s="29" t="s">
        <v>15</v>
      </c>
      <c r="N181" s="29" t="s">
        <v>46</v>
      </c>
      <c r="O181" s="29" t="s">
        <v>28</v>
      </c>
      <c r="P181" s="29" t="s">
        <v>12</v>
      </c>
    </row>
    <row r="182" spans="1:16" x14ac:dyDescent="0.3">
      <c r="A182" s="24" t="str">
        <f t="shared" si="4"/>
        <v>Melissa Agnew</v>
      </c>
      <c r="B182" s="25">
        <f t="shared" si="5"/>
        <v>10</v>
      </c>
      <c r="C182" s="26" t="s">
        <v>490</v>
      </c>
      <c r="D182" s="26" t="s">
        <v>491</v>
      </c>
      <c r="E182" s="42" t="s">
        <v>492</v>
      </c>
      <c r="F182" s="43">
        <v>43453</v>
      </c>
      <c r="G182" s="26" t="s">
        <v>20</v>
      </c>
      <c r="H182" s="26" t="s">
        <v>73</v>
      </c>
      <c r="I182" s="26" t="s">
        <v>21</v>
      </c>
      <c r="J182" s="26" t="s">
        <v>50</v>
      </c>
      <c r="K182" s="26" t="s">
        <v>58</v>
      </c>
      <c r="L182" s="26" t="s">
        <v>26</v>
      </c>
      <c r="M182" s="26" t="s">
        <v>16</v>
      </c>
      <c r="N182" s="26" t="s">
        <v>35</v>
      </c>
      <c r="O182" s="26" t="s">
        <v>12</v>
      </c>
      <c r="P182" s="26" t="s">
        <v>27</v>
      </c>
    </row>
    <row r="183" spans="1:16" x14ac:dyDescent="0.3">
      <c r="A183" s="24" t="str">
        <f t="shared" si="4"/>
        <v>Michael Ossitt</v>
      </c>
      <c r="B183" s="25">
        <f t="shared" si="5"/>
        <v>10</v>
      </c>
      <c r="C183" s="26" t="s">
        <v>493</v>
      </c>
      <c r="D183" s="26" t="s">
        <v>494</v>
      </c>
      <c r="E183" s="27" t="s">
        <v>495</v>
      </c>
      <c r="F183" s="28">
        <v>43405</v>
      </c>
      <c r="G183" s="26" t="s">
        <v>25</v>
      </c>
      <c r="H183" s="26" t="s">
        <v>42</v>
      </c>
      <c r="I183" s="26" t="s">
        <v>20</v>
      </c>
      <c r="J183" s="26" t="s">
        <v>21</v>
      </c>
      <c r="K183" s="26" t="s">
        <v>34</v>
      </c>
      <c r="L183" s="26" t="s">
        <v>17</v>
      </c>
      <c r="M183" s="26" t="s">
        <v>15</v>
      </c>
      <c r="N183" s="26" t="s">
        <v>35</v>
      </c>
      <c r="O183" s="26" t="s">
        <v>18</v>
      </c>
      <c r="P183" s="26" t="s">
        <v>41</v>
      </c>
    </row>
    <row r="184" spans="1:16" x14ac:dyDescent="0.3">
      <c r="A184" s="24" t="str">
        <f t="shared" si="4"/>
        <v>Michael Young</v>
      </c>
      <c r="B184" s="25">
        <f t="shared" si="5"/>
        <v>10</v>
      </c>
      <c r="C184" s="30" t="s">
        <v>493</v>
      </c>
      <c r="D184" s="30" t="s">
        <v>496</v>
      </c>
      <c r="E184" s="27" t="s">
        <v>497</v>
      </c>
      <c r="F184" s="31" t="s">
        <v>498</v>
      </c>
      <c r="G184" s="29" t="s">
        <v>49</v>
      </c>
      <c r="H184" s="29" t="s">
        <v>15</v>
      </c>
      <c r="I184" s="29" t="s">
        <v>66</v>
      </c>
      <c r="J184" s="29" t="s">
        <v>20</v>
      </c>
      <c r="K184" s="29" t="s">
        <v>34</v>
      </c>
      <c r="L184" s="29" t="s">
        <v>14</v>
      </c>
      <c r="M184" s="29" t="s">
        <v>29</v>
      </c>
      <c r="N184" s="29" t="s">
        <v>12</v>
      </c>
      <c r="O184" s="29" t="s">
        <v>40</v>
      </c>
      <c r="P184" s="29" t="s">
        <v>48</v>
      </c>
    </row>
    <row r="185" spans="1:16" x14ac:dyDescent="0.3">
      <c r="A185" s="24" t="str">
        <f t="shared" si="4"/>
        <v>Michelle Joosse</v>
      </c>
      <c r="B185" s="25">
        <f t="shared" si="5"/>
        <v>10</v>
      </c>
      <c r="C185" s="26" t="s">
        <v>499</v>
      </c>
      <c r="D185" s="26" t="s">
        <v>60</v>
      </c>
      <c r="E185" s="42" t="s">
        <v>500</v>
      </c>
      <c r="F185" s="43">
        <v>43510</v>
      </c>
      <c r="G185" s="26" t="s">
        <v>12</v>
      </c>
      <c r="H185" s="26" t="s">
        <v>21</v>
      </c>
      <c r="I185" s="26" t="s">
        <v>14</v>
      </c>
      <c r="J185" s="26" t="s">
        <v>58</v>
      </c>
      <c r="K185" s="26" t="s">
        <v>25</v>
      </c>
      <c r="L185" s="26" t="s">
        <v>13</v>
      </c>
      <c r="M185" s="26" t="s">
        <v>41</v>
      </c>
      <c r="N185" s="26" t="s">
        <v>15</v>
      </c>
      <c r="O185" s="26" t="s">
        <v>18</v>
      </c>
      <c r="P185" s="26" t="s">
        <v>30</v>
      </c>
    </row>
    <row r="186" spans="1:16" x14ac:dyDescent="0.3">
      <c r="A186" s="24" t="str">
        <f t="shared" si="4"/>
        <v>Mikaela Westwood</v>
      </c>
      <c r="B186" s="25">
        <f t="shared" si="5"/>
        <v>10</v>
      </c>
      <c r="C186" s="30" t="s">
        <v>501</v>
      </c>
      <c r="D186" s="30" t="s">
        <v>502</v>
      </c>
      <c r="E186" s="27" t="s">
        <v>503</v>
      </c>
      <c r="F186" s="28">
        <v>45054</v>
      </c>
      <c r="G186" s="26" t="s">
        <v>46</v>
      </c>
      <c r="H186" s="26" t="s">
        <v>49</v>
      </c>
      <c r="I186" s="26" t="s">
        <v>54</v>
      </c>
      <c r="J186" s="26" t="s">
        <v>30</v>
      </c>
      <c r="K186" s="26" t="s">
        <v>48</v>
      </c>
      <c r="L186" s="26" t="s">
        <v>14</v>
      </c>
      <c r="M186" s="26" t="s">
        <v>36</v>
      </c>
      <c r="N186" s="26" t="s">
        <v>47</v>
      </c>
      <c r="O186" s="26" t="s">
        <v>15</v>
      </c>
      <c r="P186" s="26" t="s">
        <v>13</v>
      </c>
    </row>
    <row r="187" spans="1:16" x14ac:dyDescent="0.3">
      <c r="A187" s="24" t="str">
        <f t="shared" si="4"/>
        <v>Mike Beukman</v>
      </c>
      <c r="B187" s="25">
        <f t="shared" si="5"/>
        <v>10</v>
      </c>
      <c r="C187" s="26" t="s">
        <v>504</v>
      </c>
      <c r="D187" s="26" t="s">
        <v>505</v>
      </c>
      <c r="E187" s="36" t="s">
        <v>506</v>
      </c>
      <c r="F187" s="37">
        <v>44711</v>
      </c>
      <c r="G187" s="26" t="s">
        <v>42</v>
      </c>
      <c r="H187" s="29" t="s">
        <v>25</v>
      </c>
      <c r="I187" s="29" t="s">
        <v>18</v>
      </c>
      <c r="J187" s="29" t="s">
        <v>36</v>
      </c>
      <c r="K187" s="26" t="s">
        <v>13</v>
      </c>
      <c r="L187" s="26" t="s">
        <v>17</v>
      </c>
      <c r="M187" s="26" t="s">
        <v>37</v>
      </c>
      <c r="N187" s="26" t="s">
        <v>15</v>
      </c>
      <c r="O187" s="26" t="s">
        <v>41</v>
      </c>
      <c r="P187" s="26" t="s">
        <v>66</v>
      </c>
    </row>
    <row r="188" spans="1:16" x14ac:dyDescent="0.3">
      <c r="A188" s="24" t="str">
        <f t="shared" si="4"/>
        <v>Mitchell Joosse</v>
      </c>
      <c r="B188" s="25">
        <f t="shared" si="5"/>
        <v>10</v>
      </c>
      <c r="C188" s="30" t="s">
        <v>507</v>
      </c>
      <c r="D188" s="30" t="s">
        <v>60</v>
      </c>
      <c r="E188" s="27" t="s">
        <v>508</v>
      </c>
      <c r="F188" s="31">
        <v>45033</v>
      </c>
      <c r="G188" s="26" t="s">
        <v>42</v>
      </c>
      <c r="H188" s="26" t="s">
        <v>36</v>
      </c>
      <c r="I188" s="26" t="s">
        <v>29</v>
      </c>
      <c r="J188" s="26" t="s">
        <v>27</v>
      </c>
      <c r="K188" s="26" t="s">
        <v>28</v>
      </c>
      <c r="L188" s="26" t="s">
        <v>50</v>
      </c>
      <c r="M188" s="26" t="s">
        <v>40</v>
      </c>
      <c r="N188" s="26" t="s">
        <v>15</v>
      </c>
      <c r="O188" s="26" t="s">
        <v>73</v>
      </c>
      <c r="P188" s="26" t="s">
        <v>25</v>
      </c>
    </row>
    <row r="189" spans="1:16" x14ac:dyDescent="0.3">
      <c r="A189" s="24" t="str">
        <f t="shared" ref="A189:A224" si="6">CONCATENATE(C189," ",D189)</f>
        <v>Natashia Alexander</v>
      </c>
      <c r="B189" s="25">
        <f t="shared" ref="B189:B224" si="7">IF(COUNTA(G189:AN189)=SUMPRODUCT((G189:AN189&lt;&gt;"")/COUNTIF(G189:AN189,G189:AN189&amp;"")),COUNTA(G189:AN189),"Duplicate")</f>
        <v>10</v>
      </c>
      <c r="C189" s="26" t="s">
        <v>509</v>
      </c>
      <c r="D189" s="26" t="s">
        <v>510</v>
      </c>
      <c r="E189" s="36" t="s">
        <v>511</v>
      </c>
      <c r="F189" s="37">
        <v>44617</v>
      </c>
      <c r="G189" s="26" t="s">
        <v>34</v>
      </c>
      <c r="H189" s="29" t="s">
        <v>37</v>
      </c>
      <c r="I189" s="29" t="s">
        <v>20</v>
      </c>
      <c r="J189" s="29" t="s">
        <v>15</v>
      </c>
      <c r="K189" s="26" t="s">
        <v>17</v>
      </c>
      <c r="L189" s="26" t="s">
        <v>18</v>
      </c>
      <c r="M189" s="26" t="s">
        <v>63</v>
      </c>
      <c r="N189" s="26" t="s">
        <v>35</v>
      </c>
      <c r="O189" s="26" t="s">
        <v>40</v>
      </c>
      <c r="P189" s="26" t="s">
        <v>66</v>
      </c>
    </row>
    <row r="190" spans="1:16" x14ac:dyDescent="0.3">
      <c r="A190" s="24" t="str">
        <f t="shared" si="6"/>
        <v>Nathalie Berger</v>
      </c>
      <c r="B190" s="25">
        <f t="shared" si="7"/>
        <v>10</v>
      </c>
      <c r="C190" s="39" t="s">
        <v>512</v>
      </c>
      <c r="D190" s="39" t="s">
        <v>513</v>
      </c>
      <c r="E190" s="40" t="s">
        <v>514</v>
      </c>
      <c r="F190" s="28">
        <v>45033</v>
      </c>
      <c r="G190" s="26" t="s">
        <v>14</v>
      </c>
      <c r="H190" s="29" t="s">
        <v>28</v>
      </c>
      <c r="I190" s="29" t="s">
        <v>30</v>
      </c>
      <c r="J190" s="29" t="s">
        <v>36</v>
      </c>
      <c r="K190" s="26" t="s">
        <v>12</v>
      </c>
      <c r="L190" s="26" t="s">
        <v>18</v>
      </c>
      <c r="M190" s="26" t="s">
        <v>25</v>
      </c>
      <c r="N190" s="26" t="s">
        <v>15</v>
      </c>
      <c r="O190" s="26" t="s">
        <v>37</v>
      </c>
      <c r="P190" s="26" t="s">
        <v>48</v>
      </c>
    </row>
    <row r="191" spans="1:16" x14ac:dyDescent="0.3">
      <c r="A191" s="24" t="str">
        <f t="shared" si="6"/>
        <v>Nicholas Butler</v>
      </c>
      <c r="B191" s="25">
        <f t="shared" si="7"/>
        <v>10</v>
      </c>
      <c r="C191" s="26" t="s">
        <v>515</v>
      </c>
      <c r="D191" s="26" t="s">
        <v>516</v>
      </c>
      <c r="E191" s="42" t="s">
        <v>517</v>
      </c>
      <c r="F191" s="43">
        <v>43537</v>
      </c>
      <c r="G191" s="26" t="s">
        <v>13</v>
      </c>
      <c r="H191" s="26" t="s">
        <v>12</v>
      </c>
      <c r="I191" s="26" t="s">
        <v>14</v>
      </c>
      <c r="J191" s="26" t="s">
        <v>58</v>
      </c>
      <c r="K191" s="26" t="s">
        <v>25</v>
      </c>
      <c r="L191" s="26" t="s">
        <v>15</v>
      </c>
      <c r="M191" s="26" t="s">
        <v>18</v>
      </c>
      <c r="N191" s="26" t="s">
        <v>30</v>
      </c>
      <c r="O191" s="26" t="s">
        <v>66</v>
      </c>
      <c r="P191" s="26" t="s">
        <v>49</v>
      </c>
    </row>
    <row r="192" spans="1:16" x14ac:dyDescent="0.3">
      <c r="A192" s="24" t="str">
        <f t="shared" si="6"/>
        <v>NICK GRAHAM</v>
      </c>
      <c r="B192" s="25">
        <f t="shared" si="7"/>
        <v>10</v>
      </c>
      <c r="C192" s="26" t="s">
        <v>518</v>
      </c>
      <c r="D192" s="26" t="s">
        <v>519</v>
      </c>
      <c r="E192" s="27" t="s">
        <v>520</v>
      </c>
      <c r="F192" s="28">
        <v>43557</v>
      </c>
      <c r="G192" s="26" t="s">
        <v>63</v>
      </c>
      <c r="H192" s="26" t="s">
        <v>54</v>
      </c>
      <c r="I192" s="26" t="s">
        <v>18</v>
      </c>
      <c r="J192" s="26" t="s">
        <v>66</v>
      </c>
      <c r="K192" s="26" t="s">
        <v>34</v>
      </c>
      <c r="L192" s="26" t="s">
        <v>73</v>
      </c>
      <c r="M192" s="26" t="s">
        <v>20</v>
      </c>
      <c r="N192" s="26" t="s">
        <v>58</v>
      </c>
      <c r="O192" s="26" t="s">
        <v>27</v>
      </c>
      <c r="P192" s="26" t="s">
        <v>37</v>
      </c>
    </row>
    <row r="193" spans="1:16" x14ac:dyDescent="0.3">
      <c r="A193" s="24" t="str">
        <f t="shared" si="6"/>
        <v>Nick Hudson</v>
      </c>
      <c r="B193" s="25">
        <f t="shared" si="7"/>
        <v>10</v>
      </c>
      <c r="C193" s="30" t="s">
        <v>521</v>
      </c>
      <c r="D193" s="30" t="s">
        <v>522</v>
      </c>
      <c r="E193" s="27" t="s">
        <v>523</v>
      </c>
      <c r="F193" s="28">
        <v>45033</v>
      </c>
      <c r="G193" s="26" t="s">
        <v>37</v>
      </c>
      <c r="H193" s="29" t="s">
        <v>66</v>
      </c>
      <c r="I193" s="29" t="s">
        <v>42</v>
      </c>
      <c r="J193" s="29" t="s">
        <v>14</v>
      </c>
      <c r="K193" s="29" t="s">
        <v>58</v>
      </c>
      <c r="L193" s="29" t="s">
        <v>36</v>
      </c>
      <c r="M193" s="29" t="s">
        <v>29</v>
      </c>
      <c r="N193" s="29" t="s">
        <v>49</v>
      </c>
      <c r="O193" s="29" t="s">
        <v>34</v>
      </c>
      <c r="P193" s="29" t="s">
        <v>12</v>
      </c>
    </row>
    <row r="194" spans="1:16" x14ac:dyDescent="0.3">
      <c r="A194" s="24" t="str">
        <f t="shared" si="6"/>
        <v>Nick Wood</v>
      </c>
      <c r="B194" s="25">
        <f t="shared" si="7"/>
        <v>5</v>
      </c>
      <c r="C194" s="26" t="s">
        <v>521</v>
      </c>
      <c r="D194" s="26" t="s">
        <v>111</v>
      </c>
      <c r="E194" s="27"/>
      <c r="F194" s="28">
        <v>43306</v>
      </c>
      <c r="G194" s="26" t="s">
        <v>29</v>
      </c>
      <c r="H194" s="26" t="s">
        <v>46</v>
      </c>
      <c r="I194" s="26" t="s">
        <v>34</v>
      </c>
      <c r="J194" s="26" t="s">
        <v>20</v>
      </c>
      <c r="K194" s="26" t="s">
        <v>58</v>
      </c>
      <c r="L194" s="26"/>
      <c r="M194" s="26"/>
      <c r="N194" s="26"/>
      <c r="O194" s="26"/>
      <c r="P194" s="26"/>
    </row>
    <row r="195" spans="1:16" x14ac:dyDescent="0.3">
      <c r="A195" s="24" t="str">
        <f t="shared" si="6"/>
        <v>Nicole James</v>
      </c>
      <c r="B195" s="25">
        <f t="shared" si="7"/>
        <v>10</v>
      </c>
      <c r="C195" s="26" t="s">
        <v>524</v>
      </c>
      <c r="D195" s="26" t="s">
        <v>525</v>
      </c>
      <c r="E195" s="36" t="s">
        <v>526</v>
      </c>
      <c r="F195" s="37"/>
      <c r="G195" s="26" t="s">
        <v>63</v>
      </c>
      <c r="H195" s="26" t="s">
        <v>18</v>
      </c>
      <c r="I195" s="26" t="s">
        <v>15</v>
      </c>
      <c r="J195" s="26" t="s">
        <v>37</v>
      </c>
      <c r="K195" s="26" t="s">
        <v>16</v>
      </c>
      <c r="L195" s="26" t="s">
        <v>66</v>
      </c>
      <c r="M195" s="26" t="s">
        <v>47</v>
      </c>
      <c r="N195" s="26" t="s">
        <v>28</v>
      </c>
      <c r="O195" s="26" t="s">
        <v>17</v>
      </c>
      <c r="P195" s="26" t="s">
        <v>14</v>
      </c>
    </row>
    <row r="196" spans="1:16" x14ac:dyDescent="0.3">
      <c r="A196" s="24" t="str">
        <f t="shared" si="6"/>
        <v>Nimisha Kalimuthu</v>
      </c>
      <c r="B196" s="25">
        <f t="shared" si="7"/>
        <v>10</v>
      </c>
      <c r="C196" s="26" t="s">
        <v>527</v>
      </c>
      <c r="D196" s="26" t="s">
        <v>528</v>
      </c>
      <c r="E196" s="42" t="s">
        <v>529</v>
      </c>
      <c r="F196" s="43">
        <v>43620</v>
      </c>
      <c r="G196" s="26" t="s">
        <v>29</v>
      </c>
      <c r="H196" s="26" t="s">
        <v>20</v>
      </c>
      <c r="I196" s="26" t="s">
        <v>15</v>
      </c>
      <c r="J196" s="26" t="s">
        <v>54</v>
      </c>
      <c r="K196" s="26" t="s">
        <v>37</v>
      </c>
      <c r="L196" s="26" t="s">
        <v>66</v>
      </c>
      <c r="M196" s="26" t="s">
        <v>28</v>
      </c>
      <c r="N196" s="26" t="s">
        <v>19</v>
      </c>
      <c r="O196" s="26" t="s">
        <v>34</v>
      </c>
      <c r="P196" s="26" t="s">
        <v>35</v>
      </c>
    </row>
    <row r="197" spans="1:16" x14ac:dyDescent="0.3">
      <c r="A197" s="24" t="str">
        <f t="shared" si="6"/>
        <v>Noah Rezende</v>
      </c>
      <c r="B197" s="25">
        <f t="shared" si="7"/>
        <v>10</v>
      </c>
      <c r="C197" s="26" t="s">
        <v>530</v>
      </c>
      <c r="D197" s="26" t="s">
        <v>355</v>
      </c>
      <c r="E197" s="42"/>
      <c r="F197" s="43"/>
      <c r="G197" s="29" t="s">
        <v>16</v>
      </c>
      <c r="H197" s="29" t="s">
        <v>54</v>
      </c>
      <c r="I197" s="29" t="s">
        <v>34</v>
      </c>
      <c r="J197" s="29" t="s">
        <v>37</v>
      </c>
      <c r="K197" s="29" t="s">
        <v>58</v>
      </c>
      <c r="L197" s="29" t="s">
        <v>63</v>
      </c>
      <c r="M197" s="29" t="s">
        <v>47</v>
      </c>
      <c r="N197" s="29" t="s">
        <v>35</v>
      </c>
      <c r="O197" s="29" t="s">
        <v>36</v>
      </c>
      <c r="P197" s="29" t="s">
        <v>42</v>
      </c>
    </row>
    <row r="198" spans="1:16" x14ac:dyDescent="0.3">
      <c r="A198" s="24" t="str">
        <f t="shared" si="6"/>
        <v>Noel Basile</v>
      </c>
      <c r="B198" s="25">
        <f t="shared" si="7"/>
        <v>10</v>
      </c>
      <c r="C198" s="26" t="s">
        <v>531</v>
      </c>
      <c r="D198" s="26" t="s">
        <v>532</v>
      </c>
      <c r="E198" s="42" t="s">
        <v>533</v>
      </c>
      <c r="F198" s="43">
        <v>43555</v>
      </c>
      <c r="G198" s="26" t="s">
        <v>18</v>
      </c>
      <c r="H198" s="26" t="s">
        <v>27</v>
      </c>
      <c r="I198" s="26" t="s">
        <v>12</v>
      </c>
      <c r="J198" s="26" t="s">
        <v>15</v>
      </c>
      <c r="K198" s="26" t="s">
        <v>19</v>
      </c>
      <c r="L198" s="26" t="s">
        <v>28</v>
      </c>
      <c r="M198" s="26" t="s">
        <v>63</v>
      </c>
      <c r="N198" s="26" t="s">
        <v>37</v>
      </c>
      <c r="O198" s="26" t="s">
        <v>54</v>
      </c>
      <c r="P198" s="26" t="s">
        <v>48</v>
      </c>
    </row>
    <row r="199" spans="1:16" x14ac:dyDescent="0.3">
      <c r="A199" s="24" t="str">
        <f t="shared" si="6"/>
        <v>Patricia Villella</v>
      </c>
      <c r="B199" s="25">
        <f t="shared" si="7"/>
        <v>10</v>
      </c>
      <c r="C199" s="26" t="s">
        <v>534</v>
      </c>
      <c r="D199" s="26" t="s">
        <v>535</v>
      </c>
      <c r="E199" s="42" t="s">
        <v>536</v>
      </c>
      <c r="F199" s="43">
        <v>43707</v>
      </c>
      <c r="G199" s="26" t="s">
        <v>15</v>
      </c>
      <c r="H199" s="26" t="s">
        <v>12</v>
      </c>
      <c r="I199" s="26" t="s">
        <v>37</v>
      </c>
      <c r="J199" s="26" t="s">
        <v>18</v>
      </c>
      <c r="K199" s="26" t="s">
        <v>14</v>
      </c>
      <c r="L199" s="26" t="s">
        <v>66</v>
      </c>
      <c r="M199" s="26" t="s">
        <v>40</v>
      </c>
      <c r="N199" s="26" t="s">
        <v>13</v>
      </c>
      <c r="O199" s="26" t="s">
        <v>47</v>
      </c>
      <c r="P199" s="26" t="s">
        <v>49</v>
      </c>
    </row>
    <row r="200" spans="1:16" x14ac:dyDescent="0.3">
      <c r="A200" s="24" t="str">
        <f t="shared" si="6"/>
        <v>Patrick Hannan</v>
      </c>
      <c r="B200" s="25">
        <f t="shared" si="7"/>
        <v>10</v>
      </c>
      <c r="C200" s="29" t="s">
        <v>537</v>
      </c>
      <c r="D200" s="29" t="s">
        <v>388</v>
      </c>
      <c r="E200" s="42" t="s">
        <v>538</v>
      </c>
      <c r="F200" s="43" t="s">
        <v>539</v>
      </c>
      <c r="G200" s="29" t="s">
        <v>14</v>
      </c>
      <c r="H200" s="29" t="s">
        <v>36</v>
      </c>
      <c r="I200" s="29" t="s">
        <v>34</v>
      </c>
      <c r="J200" s="29" t="s">
        <v>37</v>
      </c>
      <c r="K200" s="29" t="s">
        <v>48</v>
      </c>
      <c r="L200" s="29" t="s">
        <v>12</v>
      </c>
      <c r="M200" s="29" t="s">
        <v>49</v>
      </c>
      <c r="N200" s="29" t="s">
        <v>20</v>
      </c>
      <c r="O200" s="29" t="s">
        <v>54</v>
      </c>
      <c r="P200" s="29" t="s">
        <v>30</v>
      </c>
    </row>
    <row r="201" spans="1:16" x14ac:dyDescent="0.3">
      <c r="A201" s="24" t="str">
        <f t="shared" si="6"/>
        <v>Paul Vogt</v>
      </c>
      <c r="B201" s="25">
        <f t="shared" si="7"/>
        <v>10</v>
      </c>
      <c r="C201" s="34" t="s">
        <v>540</v>
      </c>
      <c r="D201" s="34" t="s">
        <v>541</v>
      </c>
      <c r="E201" s="34" t="s">
        <v>542</v>
      </c>
      <c r="F201" s="35" t="s">
        <v>543</v>
      </c>
      <c r="G201" s="34" t="s">
        <v>40</v>
      </c>
      <c r="H201" s="34" t="s">
        <v>36</v>
      </c>
      <c r="I201" s="34" t="s">
        <v>48</v>
      </c>
      <c r="J201" s="34" t="s">
        <v>95</v>
      </c>
      <c r="K201" s="34" t="s">
        <v>14</v>
      </c>
      <c r="L201" s="34" t="s">
        <v>30</v>
      </c>
      <c r="M201" s="34" t="s">
        <v>58</v>
      </c>
      <c r="N201" s="34" t="s">
        <v>28</v>
      </c>
      <c r="O201" s="34" t="s">
        <v>19</v>
      </c>
      <c r="P201" s="34" t="s">
        <v>21</v>
      </c>
    </row>
    <row r="202" spans="1:16" x14ac:dyDescent="0.3">
      <c r="A202" s="24" t="str">
        <f t="shared" si="6"/>
        <v>Peter De Vega</v>
      </c>
      <c r="B202" s="25">
        <f t="shared" si="7"/>
        <v>10</v>
      </c>
      <c r="C202" s="26" t="s">
        <v>544</v>
      </c>
      <c r="D202" s="26" t="s">
        <v>545</v>
      </c>
      <c r="E202" s="42" t="s">
        <v>546</v>
      </c>
      <c r="F202" s="43">
        <v>43626</v>
      </c>
      <c r="G202" s="26" t="s">
        <v>95</v>
      </c>
      <c r="H202" s="26" t="s">
        <v>73</v>
      </c>
      <c r="I202" s="26" t="s">
        <v>14</v>
      </c>
      <c r="J202" s="26" t="s">
        <v>18</v>
      </c>
      <c r="K202" s="26" t="s">
        <v>15</v>
      </c>
      <c r="L202" s="26" t="s">
        <v>21</v>
      </c>
      <c r="M202" s="26" t="s">
        <v>19</v>
      </c>
      <c r="N202" s="26" t="s">
        <v>30</v>
      </c>
      <c r="O202" s="26" t="s">
        <v>41</v>
      </c>
      <c r="P202" s="26" t="s">
        <v>25</v>
      </c>
    </row>
    <row r="203" spans="1:16" x14ac:dyDescent="0.3">
      <c r="A203" s="24" t="str">
        <f t="shared" si="6"/>
        <v>Philippa Hambling</v>
      </c>
      <c r="B203" s="25">
        <f t="shared" si="7"/>
        <v>10</v>
      </c>
      <c r="C203" s="30" t="s">
        <v>547</v>
      </c>
      <c r="D203" s="30" t="s">
        <v>548</v>
      </c>
      <c r="E203" s="27" t="s">
        <v>549</v>
      </c>
      <c r="F203" s="28">
        <v>45033</v>
      </c>
      <c r="G203" s="26" t="s">
        <v>46</v>
      </c>
      <c r="H203" s="29" t="s">
        <v>29</v>
      </c>
      <c r="I203" s="29" t="s">
        <v>25</v>
      </c>
      <c r="J203" s="29" t="s">
        <v>15</v>
      </c>
      <c r="K203" s="29" t="s">
        <v>28</v>
      </c>
      <c r="L203" s="29" t="s">
        <v>18</v>
      </c>
      <c r="M203" s="29" t="s">
        <v>36</v>
      </c>
      <c r="N203" s="29" t="s">
        <v>16</v>
      </c>
      <c r="O203" s="29" t="s">
        <v>17</v>
      </c>
      <c r="P203" s="29" t="s">
        <v>14</v>
      </c>
    </row>
    <row r="204" spans="1:16" x14ac:dyDescent="0.3">
      <c r="A204" s="24" t="str">
        <f t="shared" si="6"/>
        <v>Phillip Carter</v>
      </c>
      <c r="B204" s="25">
        <f t="shared" si="7"/>
        <v>10</v>
      </c>
      <c r="C204" s="29" t="s">
        <v>550</v>
      </c>
      <c r="D204" s="29" t="s">
        <v>71</v>
      </c>
      <c r="E204" s="48" t="s">
        <v>551</v>
      </c>
      <c r="F204" s="49" t="s">
        <v>552</v>
      </c>
      <c r="G204" s="29" t="s">
        <v>48</v>
      </c>
      <c r="H204" s="29" t="s">
        <v>40</v>
      </c>
      <c r="I204" s="29" t="s">
        <v>15</v>
      </c>
      <c r="J204" s="29" t="s">
        <v>46</v>
      </c>
      <c r="K204" s="29" t="s">
        <v>66</v>
      </c>
      <c r="L204" s="29" t="s">
        <v>26</v>
      </c>
      <c r="M204" s="29" t="s">
        <v>25</v>
      </c>
      <c r="N204" s="29" t="s">
        <v>63</v>
      </c>
      <c r="O204" s="29" t="s">
        <v>17</v>
      </c>
      <c r="P204" s="29" t="s">
        <v>41</v>
      </c>
    </row>
    <row r="205" spans="1:16" x14ac:dyDescent="0.3">
      <c r="A205" s="24" t="str">
        <f t="shared" si="6"/>
        <v>Prameena Karunairaj</v>
      </c>
      <c r="B205" s="25">
        <f t="shared" si="7"/>
        <v>10</v>
      </c>
      <c r="C205" s="26" t="s">
        <v>553</v>
      </c>
      <c r="D205" s="26" t="s">
        <v>554</v>
      </c>
      <c r="E205" s="36" t="s">
        <v>555</v>
      </c>
      <c r="F205" s="37">
        <v>44839</v>
      </c>
      <c r="G205" s="26" t="s">
        <v>73</v>
      </c>
      <c r="H205" s="29" t="s">
        <v>12</v>
      </c>
      <c r="I205" s="29" t="s">
        <v>15</v>
      </c>
      <c r="J205" s="29" t="s">
        <v>21</v>
      </c>
      <c r="K205" s="26" t="s">
        <v>66</v>
      </c>
      <c r="L205" s="26" t="s">
        <v>42</v>
      </c>
      <c r="M205" s="26" t="s">
        <v>18</v>
      </c>
      <c r="N205" s="26" t="s">
        <v>14</v>
      </c>
      <c r="O205" s="26" t="s">
        <v>28</v>
      </c>
      <c r="P205" s="26" t="s">
        <v>37</v>
      </c>
    </row>
    <row r="206" spans="1:16" x14ac:dyDescent="0.3">
      <c r="A206" s="24" t="str">
        <f t="shared" si="6"/>
        <v>Rachael  Choy</v>
      </c>
      <c r="B206" s="25">
        <f t="shared" si="7"/>
        <v>10</v>
      </c>
      <c r="C206" s="30" t="s">
        <v>556</v>
      </c>
      <c r="D206" s="30" t="s">
        <v>557</v>
      </c>
      <c r="E206" s="27" t="s">
        <v>558</v>
      </c>
      <c r="F206" s="31" t="s">
        <v>270</v>
      </c>
      <c r="G206" s="29" t="s">
        <v>18</v>
      </c>
      <c r="H206" s="29" t="s">
        <v>27</v>
      </c>
      <c r="I206" s="29" t="s">
        <v>34</v>
      </c>
      <c r="J206" s="29" t="s">
        <v>47</v>
      </c>
      <c r="K206" s="29" t="s">
        <v>16</v>
      </c>
      <c r="L206" s="29" t="s">
        <v>73</v>
      </c>
      <c r="M206" s="29" t="s">
        <v>20</v>
      </c>
      <c r="N206" s="29" t="s">
        <v>35</v>
      </c>
      <c r="O206" s="29" t="s">
        <v>54</v>
      </c>
      <c r="P206" s="29" t="s">
        <v>28</v>
      </c>
    </row>
    <row r="207" spans="1:16" x14ac:dyDescent="0.3">
      <c r="A207" s="24" t="str">
        <f t="shared" si="6"/>
        <v>Rachel Groenhout</v>
      </c>
      <c r="B207" s="25">
        <f t="shared" si="7"/>
        <v>5</v>
      </c>
      <c r="C207" s="26" t="s">
        <v>559</v>
      </c>
      <c r="D207" s="26" t="s">
        <v>560</v>
      </c>
      <c r="E207" s="42"/>
      <c r="F207" s="43">
        <v>43313</v>
      </c>
      <c r="G207" s="26" t="s">
        <v>28</v>
      </c>
      <c r="H207" s="26" t="s">
        <v>13</v>
      </c>
      <c r="I207" s="26" t="s">
        <v>14</v>
      </c>
      <c r="J207" s="26" t="s">
        <v>58</v>
      </c>
      <c r="K207" s="26" t="s">
        <v>63</v>
      </c>
      <c r="L207" s="26"/>
      <c r="M207" s="26"/>
      <c r="N207" s="26"/>
      <c r="O207" s="26"/>
      <c r="P207" s="26"/>
    </row>
    <row r="208" spans="1:16" x14ac:dyDescent="0.3">
      <c r="A208" s="24" t="str">
        <f t="shared" si="6"/>
        <v>Rachel Neil</v>
      </c>
      <c r="B208" s="25">
        <f t="shared" si="7"/>
        <v>10</v>
      </c>
      <c r="C208" s="29" t="s">
        <v>559</v>
      </c>
      <c r="D208" s="29" t="s">
        <v>561</v>
      </c>
      <c r="E208" s="42" t="s">
        <v>562</v>
      </c>
      <c r="F208" s="43">
        <v>45033</v>
      </c>
      <c r="G208" s="26" t="s">
        <v>18</v>
      </c>
      <c r="H208" s="29" t="s">
        <v>63</v>
      </c>
      <c r="I208" s="29" t="s">
        <v>15</v>
      </c>
      <c r="J208" s="29" t="s">
        <v>54</v>
      </c>
      <c r="K208" s="29" t="s">
        <v>49</v>
      </c>
      <c r="L208" s="29" t="s">
        <v>66</v>
      </c>
      <c r="M208" s="29" t="s">
        <v>16</v>
      </c>
      <c r="N208" s="29" t="s">
        <v>17</v>
      </c>
      <c r="O208" s="29" t="s">
        <v>40</v>
      </c>
      <c r="P208" s="29" t="s">
        <v>37</v>
      </c>
    </row>
    <row r="209" spans="1:16" x14ac:dyDescent="0.3">
      <c r="A209" s="24" t="str">
        <f t="shared" si="6"/>
        <v>Rachel Pavitt</v>
      </c>
      <c r="B209" s="25">
        <f t="shared" si="7"/>
        <v>5</v>
      </c>
      <c r="C209" s="26" t="s">
        <v>559</v>
      </c>
      <c r="D209" s="26" t="s">
        <v>563</v>
      </c>
      <c r="E209" s="27"/>
      <c r="F209" s="28">
        <v>43306</v>
      </c>
      <c r="G209" s="26" t="s">
        <v>30</v>
      </c>
      <c r="H209" s="26" t="s">
        <v>42</v>
      </c>
      <c r="I209" s="26" t="s">
        <v>54</v>
      </c>
      <c r="J209" s="26" t="s">
        <v>18</v>
      </c>
      <c r="K209" s="26" t="s">
        <v>47</v>
      </c>
      <c r="L209" s="26"/>
      <c r="M209" s="26"/>
      <c r="N209" s="26"/>
      <c r="O209" s="26"/>
      <c r="P209" s="26"/>
    </row>
    <row r="210" spans="1:16" x14ac:dyDescent="0.3">
      <c r="A210" s="24" t="str">
        <f t="shared" si="6"/>
        <v>Rebecca Buchanan</v>
      </c>
      <c r="B210" s="25">
        <f t="shared" si="7"/>
        <v>10</v>
      </c>
      <c r="C210" s="26" t="s">
        <v>564</v>
      </c>
      <c r="D210" s="26" t="s">
        <v>565</v>
      </c>
      <c r="E210" s="27" t="s">
        <v>566</v>
      </c>
      <c r="F210" s="31">
        <v>43866</v>
      </c>
      <c r="G210" s="26" t="s">
        <v>58</v>
      </c>
      <c r="H210" s="26" t="s">
        <v>30</v>
      </c>
      <c r="I210" s="26" t="s">
        <v>14</v>
      </c>
      <c r="J210" s="26" t="s">
        <v>15</v>
      </c>
      <c r="K210" s="26" t="s">
        <v>12</v>
      </c>
      <c r="L210" s="26" t="s">
        <v>27</v>
      </c>
      <c r="M210" s="26" t="s">
        <v>18</v>
      </c>
      <c r="N210" s="26" t="s">
        <v>41</v>
      </c>
      <c r="O210" s="26" t="s">
        <v>63</v>
      </c>
      <c r="P210" s="26" t="s">
        <v>49</v>
      </c>
    </row>
    <row r="211" spans="1:16" x14ac:dyDescent="0.3">
      <c r="A211" s="24" t="str">
        <f t="shared" si="6"/>
        <v>Rebecca Cookson</v>
      </c>
      <c r="B211" s="25">
        <f t="shared" si="7"/>
        <v>10</v>
      </c>
      <c r="C211" s="32" t="s">
        <v>564</v>
      </c>
      <c r="D211" s="32" t="s">
        <v>567</v>
      </c>
      <c r="E211" s="33" t="s">
        <v>568</v>
      </c>
      <c r="F211" s="31">
        <v>45027</v>
      </c>
      <c r="G211" s="32" t="s">
        <v>29</v>
      </c>
      <c r="H211" s="32" t="s">
        <v>16</v>
      </c>
      <c r="I211" s="32" t="s">
        <v>48</v>
      </c>
      <c r="J211" s="32" t="s">
        <v>36</v>
      </c>
      <c r="K211" s="32" t="s">
        <v>49</v>
      </c>
      <c r="L211" s="29" t="s">
        <v>14</v>
      </c>
      <c r="M211" s="29" t="s">
        <v>15</v>
      </c>
      <c r="N211" s="29" t="s">
        <v>34</v>
      </c>
      <c r="O211" s="29" t="s">
        <v>28</v>
      </c>
      <c r="P211" s="29" t="s">
        <v>12</v>
      </c>
    </row>
    <row r="212" spans="1:16" x14ac:dyDescent="0.3">
      <c r="A212" s="24" t="str">
        <f t="shared" si="6"/>
        <v>Rebecca Cross</v>
      </c>
      <c r="B212" s="25">
        <f t="shared" si="7"/>
        <v>5</v>
      </c>
      <c r="C212" s="26" t="s">
        <v>564</v>
      </c>
      <c r="D212" s="26" t="s">
        <v>569</v>
      </c>
      <c r="E212" s="42" t="s">
        <v>570</v>
      </c>
      <c r="F212" s="43">
        <v>42998</v>
      </c>
      <c r="G212" s="26" t="s">
        <v>27</v>
      </c>
      <c r="H212" s="26" t="s">
        <v>34</v>
      </c>
      <c r="I212" s="26" t="s">
        <v>28</v>
      </c>
      <c r="J212" s="26" t="s">
        <v>66</v>
      </c>
      <c r="K212" s="26" t="s">
        <v>58</v>
      </c>
      <c r="L212" s="26"/>
      <c r="M212" s="26"/>
      <c r="N212" s="26"/>
      <c r="O212" s="26"/>
      <c r="P212" s="26"/>
    </row>
    <row r="213" spans="1:16" x14ac:dyDescent="0.3">
      <c r="A213" s="24" t="str">
        <f t="shared" si="6"/>
        <v>Renee Dodds</v>
      </c>
      <c r="B213" s="25">
        <f t="shared" si="7"/>
        <v>10</v>
      </c>
      <c r="C213" s="26" t="s">
        <v>571</v>
      </c>
      <c r="D213" s="26" t="s">
        <v>572</v>
      </c>
      <c r="E213" s="36" t="s">
        <v>573</v>
      </c>
      <c r="F213" s="37">
        <v>44572</v>
      </c>
      <c r="G213" s="29" t="s">
        <v>37</v>
      </c>
      <c r="H213" s="26" t="s">
        <v>49</v>
      </c>
      <c r="I213" s="29" t="s">
        <v>66</v>
      </c>
      <c r="J213" s="29" t="s">
        <v>29</v>
      </c>
      <c r="K213" s="26" t="s">
        <v>46</v>
      </c>
      <c r="L213" s="26" t="s">
        <v>12</v>
      </c>
      <c r="M213" s="26" t="s">
        <v>15</v>
      </c>
      <c r="N213" s="26" t="s">
        <v>48</v>
      </c>
      <c r="O213" s="26" t="s">
        <v>63</v>
      </c>
      <c r="P213" s="26" t="s">
        <v>34</v>
      </c>
    </row>
    <row r="214" spans="1:16" x14ac:dyDescent="0.3">
      <c r="A214" s="24" t="str">
        <f t="shared" si="6"/>
        <v>Renee Stortenbeker</v>
      </c>
      <c r="B214" s="25">
        <f t="shared" si="7"/>
        <v>10</v>
      </c>
      <c r="C214" s="26" t="s">
        <v>571</v>
      </c>
      <c r="D214" s="26" t="s">
        <v>574</v>
      </c>
      <c r="E214" s="27" t="s">
        <v>575</v>
      </c>
      <c r="F214" s="31">
        <v>44162</v>
      </c>
      <c r="G214" s="26" t="s">
        <v>12</v>
      </c>
      <c r="H214" s="29" t="s">
        <v>20</v>
      </c>
      <c r="I214" s="29" t="s">
        <v>37</v>
      </c>
      <c r="J214" s="29" t="s">
        <v>41</v>
      </c>
      <c r="K214" s="29" t="s">
        <v>17</v>
      </c>
      <c r="L214" s="29" t="s">
        <v>34</v>
      </c>
      <c r="M214" s="29" t="s">
        <v>40</v>
      </c>
      <c r="N214" s="29" t="s">
        <v>21</v>
      </c>
      <c r="O214" s="29" t="s">
        <v>46</v>
      </c>
      <c r="P214" s="29" t="s">
        <v>63</v>
      </c>
    </row>
    <row r="215" spans="1:16" x14ac:dyDescent="0.3">
      <c r="A215" s="24" t="str">
        <f t="shared" si="6"/>
        <v>Renee2 Stortenbeker</v>
      </c>
      <c r="B215" s="25">
        <f t="shared" si="7"/>
        <v>10</v>
      </c>
      <c r="C215" s="26" t="s">
        <v>576</v>
      </c>
      <c r="D215" s="26" t="s">
        <v>574</v>
      </c>
      <c r="E215" s="42"/>
      <c r="F215" s="43"/>
      <c r="G215" s="29" t="s">
        <v>17</v>
      </c>
      <c r="H215" s="29" t="s">
        <v>63</v>
      </c>
      <c r="I215" s="29" t="s">
        <v>41</v>
      </c>
      <c r="J215" s="29" t="s">
        <v>12</v>
      </c>
      <c r="K215" s="29" t="s">
        <v>15</v>
      </c>
      <c r="L215" s="29" t="s">
        <v>37</v>
      </c>
      <c r="M215" s="29" t="s">
        <v>73</v>
      </c>
      <c r="N215" s="29" t="s">
        <v>18</v>
      </c>
      <c r="O215" s="29" t="s">
        <v>34</v>
      </c>
      <c r="P215" s="29" t="s">
        <v>42</v>
      </c>
    </row>
    <row r="216" spans="1:16" x14ac:dyDescent="0.3">
      <c r="A216" s="24" t="str">
        <f t="shared" si="6"/>
        <v>Richa Malaviya</v>
      </c>
      <c r="B216" s="25">
        <f t="shared" si="7"/>
        <v>10</v>
      </c>
      <c r="C216" s="30" t="s">
        <v>577</v>
      </c>
      <c r="D216" s="30" t="s">
        <v>578</v>
      </c>
      <c r="E216" s="27" t="s">
        <v>579</v>
      </c>
      <c r="F216" s="28">
        <v>45033</v>
      </c>
      <c r="G216" s="26" t="s">
        <v>46</v>
      </c>
      <c r="H216" s="29" t="s">
        <v>66</v>
      </c>
      <c r="I216" s="29" t="s">
        <v>37</v>
      </c>
      <c r="J216" s="29" t="s">
        <v>47</v>
      </c>
      <c r="K216" s="29" t="s">
        <v>49</v>
      </c>
      <c r="L216" s="29" t="s">
        <v>18</v>
      </c>
      <c r="M216" s="29" t="s">
        <v>30</v>
      </c>
      <c r="N216" s="29" t="s">
        <v>13</v>
      </c>
      <c r="O216" s="29" t="s">
        <v>14</v>
      </c>
      <c r="P216" s="29" t="s">
        <v>28</v>
      </c>
    </row>
    <row r="217" spans="1:16" x14ac:dyDescent="0.3">
      <c r="A217" s="24" t="str">
        <f t="shared" si="6"/>
        <v>Richa Malaviya</v>
      </c>
      <c r="B217" s="25">
        <f t="shared" si="7"/>
        <v>10</v>
      </c>
      <c r="C217" s="30" t="s">
        <v>577</v>
      </c>
      <c r="D217" s="30" t="s">
        <v>578</v>
      </c>
      <c r="E217" s="42" t="s">
        <v>579</v>
      </c>
      <c r="F217" s="43" t="s">
        <v>580</v>
      </c>
      <c r="G217" s="29" t="s">
        <v>46</v>
      </c>
      <c r="H217" s="29" t="s">
        <v>66</v>
      </c>
      <c r="I217" s="29" t="s">
        <v>37</v>
      </c>
      <c r="J217" s="29" t="s">
        <v>47</v>
      </c>
      <c r="K217" s="29" t="s">
        <v>49</v>
      </c>
      <c r="L217" s="29" t="s">
        <v>18</v>
      </c>
      <c r="M217" s="29" t="s">
        <v>30</v>
      </c>
      <c r="N217" s="29" t="s">
        <v>13</v>
      </c>
      <c r="O217" s="29" t="s">
        <v>14</v>
      </c>
      <c r="P217" s="29" t="s">
        <v>28</v>
      </c>
    </row>
    <row r="218" spans="1:16" x14ac:dyDescent="0.3">
      <c r="A218" s="24" t="str">
        <f t="shared" si="6"/>
        <v>Richard Smyth</v>
      </c>
      <c r="B218" s="25">
        <f t="shared" si="7"/>
        <v>10</v>
      </c>
      <c r="C218" s="26" t="s">
        <v>581</v>
      </c>
      <c r="D218" s="26" t="s">
        <v>582</v>
      </c>
      <c r="E218" s="42" t="s">
        <v>583</v>
      </c>
      <c r="F218" s="43">
        <v>43551</v>
      </c>
      <c r="G218" s="26" t="s">
        <v>12</v>
      </c>
      <c r="H218" s="26" t="s">
        <v>34</v>
      </c>
      <c r="I218" s="26" t="s">
        <v>15</v>
      </c>
      <c r="J218" s="26" t="s">
        <v>17</v>
      </c>
      <c r="K218" s="26" t="s">
        <v>73</v>
      </c>
      <c r="L218" s="26" t="s">
        <v>21</v>
      </c>
      <c r="M218" s="26" t="s">
        <v>46</v>
      </c>
      <c r="N218" s="26" t="s">
        <v>42</v>
      </c>
      <c r="O218" s="26" t="s">
        <v>41</v>
      </c>
      <c r="P218" s="26" t="s">
        <v>19</v>
      </c>
    </row>
    <row r="219" spans="1:16" x14ac:dyDescent="0.3">
      <c r="A219" s="24" t="str">
        <f t="shared" si="6"/>
        <v>Roba Rayan</v>
      </c>
      <c r="B219" s="25">
        <f t="shared" si="7"/>
        <v>10</v>
      </c>
      <c r="C219" s="30" t="s">
        <v>584</v>
      </c>
      <c r="D219" s="30" t="s">
        <v>585</v>
      </c>
      <c r="E219" s="27" t="s">
        <v>586</v>
      </c>
      <c r="F219" s="28">
        <v>45033</v>
      </c>
      <c r="G219" s="26" t="s">
        <v>18</v>
      </c>
      <c r="H219" s="26" t="s">
        <v>46</v>
      </c>
      <c r="I219" s="26" t="s">
        <v>66</v>
      </c>
      <c r="J219" s="26" t="s">
        <v>37</v>
      </c>
      <c r="K219" s="26" t="s">
        <v>28</v>
      </c>
      <c r="L219" s="26" t="s">
        <v>20</v>
      </c>
      <c r="M219" s="26" t="s">
        <v>58</v>
      </c>
      <c r="N219" s="26" t="s">
        <v>34</v>
      </c>
      <c r="O219" s="26" t="s">
        <v>95</v>
      </c>
      <c r="P219" s="26" t="s">
        <v>40</v>
      </c>
    </row>
    <row r="220" spans="1:16" x14ac:dyDescent="0.3">
      <c r="A220" s="24" t="str">
        <f t="shared" si="6"/>
        <v>robert kaldor</v>
      </c>
      <c r="B220" s="25">
        <f t="shared" si="7"/>
        <v>10</v>
      </c>
      <c r="C220" s="26" t="s">
        <v>587</v>
      </c>
      <c r="D220" s="26" t="s">
        <v>588</v>
      </c>
      <c r="E220" s="36" t="s">
        <v>589</v>
      </c>
      <c r="F220" s="37"/>
      <c r="G220" s="26" t="s">
        <v>29</v>
      </c>
      <c r="H220" s="26" t="s">
        <v>36</v>
      </c>
      <c r="I220" s="26" t="s">
        <v>34</v>
      </c>
      <c r="J220" s="26" t="s">
        <v>54</v>
      </c>
      <c r="K220" s="26" t="s">
        <v>47</v>
      </c>
      <c r="L220" s="26" t="s">
        <v>27</v>
      </c>
      <c r="M220" s="26" t="s">
        <v>37</v>
      </c>
      <c r="N220" s="26" t="s">
        <v>49</v>
      </c>
      <c r="O220" s="26" t="s">
        <v>30</v>
      </c>
      <c r="P220" s="26" t="s">
        <v>35</v>
      </c>
    </row>
    <row r="221" spans="1:16" x14ac:dyDescent="0.3">
      <c r="A221" s="24" t="str">
        <f t="shared" si="6"/>
        <v>Robin Hunuki</v>
      </c>
      <c r="B221" s="25">
        <f t="shared" si="7"/>
        <v>10</v>
      </c>
      <c r="C221" s="26" t="s">
        <v>590</v>
      </c>
      <c r="D221" s="26" t="s">
        <v>591</v>
      </c>
      <c r="E221" s="27"/>
      <c r="F221" s="31"/>
      <c r="G221" s="26" t="s">
        <v>12</v>
      </c>
      <c r="H221" s="26" t="s">
        <v>14</v>
      </c>
      <c r="I221" s="26" t="s">
        <v>37</v>
      </c>
      <c r="J221" s="26" t="s">
        <v>27</v>
      </c>
      <c r="K221" s="26" t="s">
        <v>47</v>
      </c>
      <c r="L221" s="26" t="s">
        <v>34</v>
      </c>
      <c r="M221" s="26" t="s">
        <v>15</v>
      </c>
      <c r="N221" s="26" t="s">
        <v>16</v>
      </c>
      <c r="O221" s="26" t="s">
        <v>17</v>
      </c>
      <c r="P221" s="26" t="s">
        <v>21</v>
      </c>
    </row>
    <row r="222" spans="1:16" x14ac:dyDescent="0.3">
      <c r="A222" s="24" t="str">
        <f t="shared" si="6"/>
        <v>Romny Vandoros</v>
      </c>
      <c r="B222" s="25">
        <f t="shared" si="7"/>
        <v>10</v>
      </c>
      <c r="C222" s="26" t="s">
        <v>592</v>
      </c>
      <c r="D222" s="26" t="s">
        <v>593</v>
      </c>
      <c r="E222" s="27" t="s">
        <v>594</v>
      </c>
      <c r="F222" s="31">
        <v>43913</v>
      </c>
      <c r="G222" s="26" t="s">
        <v>48</v>
      </c>
      <c r="H222" s="26" t="s">
        <v>28</v>
      </c>
      <c r="I222" s="26" t="s">
        <v>47</v>
      </c>
      <c r="J222" s="26" t="s">
        <v>37</v>
      </c>
      <c r="K222" s="26" t="s">
        <v>36</v>
      </c>
      <c r="L222" s="26" t="s">
        <v>27</v>
      </c>
      <c r="M222" s="26" t="s">
        <v>18</v>
      </c>
      <c r="N222" s="26" t="s">
        <v>14</v>
      </c>
      <c r="O222" s="26" t="s">
        <v>66</v>
      </c>
      <c r="P222" s="26" t="s">
        <v>49</v>
      </c>
    </row>
    <row r="223" spans="1:16" x14ac:dyDescent="0.3">
      <c r="A223" s="24" t="str">
        <f t="shared" si="6"/>
        <v>Rona Jeanne Batucan</v>
      </c>
      <c r="B223" s="25">
        <f t="shared" si="7"/>
        <v>10</v>
      </c>
      <c r="C223" s="32" t="s">
        <v>595</v>
      </c>
      <c r="D223" s="32" t="s">
        <v>596</v>
      </c>
      <c r="E223" s="33" t="s">
        <v>597</v>
      </c>
      <c r="F223" s="37">
        <v>45033</v>
      </c>
      <c r="G223" s="32" t="s">
        <v>46</v>
      </c>
      <c r="H223" s="32" t="s">
        <v>42</v>
      </c>
      <c r="I223" s="32" t="s">
        <v>36</v>
      </c>
      <c r="J223" s="32" t="s">
        <v>14</v>
      </c>
      <c r="K223" s="32" t="s">
        <v>28</v>
      </c>
      <c r="L223" s="32" t="s">
        <v>58</v>
      </c>
      <c r="M223" s="32" t="s">
        <v>41</v>
      </c>
      <c r="N223" s="32" t="s">
        <v>13</v>
      </c>
      <c r="O223" s="32" t="s">
        <v>25</v>
      </c>
      <c r="P223" s="32" t="s">
        <v>37</v>
      </c>
    </row>
    <row r="224" spans="1:16" x14ac:dyDescent="0.3">
      <c r="A224" s="24" t="str">
        <f t="shared" si="6"/>
        <v>Rose Castle</v>
      </c>
      <c r="B224" s="25">
        <f t="shared" si="7"/>
        <v>10</v>
      </c>
      <c r="C224" s="29" t="s">
        <v>598</v>
      </c>
      <c r="D224" s="29" t="s">
        <v>599</v>
      </c>
      <c r="E224" s="27" t="s">
        <v>600</v>
      </c>
      <c r="F224" s="28" t="s">
        <v>139</v>
      </c>
      <c r="G224" s="29" t="s">
        <v>63</v>
      </c>
      <c r="H224" s="29" t="s">
        <v>46</v>
      </c>
      <c r="I224" s="29" t="s">
        <v>49</v>
      </c>
      <c r="J224" s="29" t="s">
        <v>28</v>
      </c>
      <c r="K224" s="29" t="s">
        <v>15</v>
      </c>
      <c r="L224" s="29" t="s">
        <v>30</v>
      </c>
      <c r="M224" s="29" t="s">
        <v>13</v>
      </c>
      <c r="N224" s="29" t="s">
        <v>14</v>
      </c>
      <c r="O224" s="29" t="s">
        <v>66</v>
      </c>
      <c r="P224" s="29" t="s">
        <v>25</v>
      </c>
    </row>
    <row r="225" spans="1:16" ht="52.8" x14ac:dyDescent="0.3">
      <c r="A225" s="50" t="s">
        <v>601</v>
      </c>
      <c r="B225" s="25">
        <v>34</v>
      </c>
      <c r="C225" s="34" t="s">
        <v>598</v>
      </c>
      <c r="D225" s="34" t="s">
        <v>602</v>
      </c>
      <c r="E225" s="34" t="s">
        <v>603</v>
      </c>
      <c r="F225" s="35">
        <v>46002</v>
      </c>
      <c r="G225" s="34" t="s">
        <v>12</v>
      </c>
      <c r="H225" s="34" t="s">
        <v>47</v>
      </c>
      <c r="I225" s="34" t="s">
        <v>37</v>
      </c>
      <c r="J225" s="34" t="s">
        <v>18</v>
      </c>
      <c r="K225" s="34" t="s">
        <v>58</v>
      </c>
      <c r="L225" s="34" t="s">
        <v>54</v>
      </c>
      <c r="M225" s="34" t="s">
        <v>42</v>
      </c>
      <c r="N225" s="34" t="s">
        <v>21</v>
      </c>
      <c r="O225" s="34" t="s">
        <v>63</v>
      </c>
      <c r="P225" s="34" t="s">
        <v>73</v>
      </c>
    </row>
    <row r="226" spans="1:16" x14ac:dyDescent="0.3">
      <c r="A226" s="24" t="str">
        <f t="shared" ref="A226:A265" si="8">CONCATENATE(C226," ",D226)</f>
        <v>Rowan Bates</v>
      </c>
      <c r="B226" s="25">
        <f t="shared" ref="B226:B265" si="9">IF(COUNTA(G226:AN226)=SUMPRODUCT((G226:AN226&lt;&gt;"")/COUNTIF(G226:AN226,G226:AN226&amp;"")),COUNTA(G226:AN226),"Duplicate")</f>
        <v>10</v>
      </c>
      <c r="C226" s="26" t="s">
        <v>604</v>
      </c>
      <c r="D226" s="26" t="s">
        <v>605</v>
      </c>
      <c r="E226" s="42"/>
      <c r="F226" s="43"/>
      <c r="G226" s="29" t="s">
        <v>25</v>
      </c>
      <c r="H226" s="29" t="s">
        <v>12</v>
      </c>
      <c r="I226" s="29" t="s">
        <v>58</v>
      </c>
      <c r="J226" s="29" t="s">
        <v>15</v>
      </c>
      <c r="K226" s="29" t="s">
        <v>35</v>
      </c>
      <c r="L226" s="29" t="s">
        <v>17</v>
      </c>
      <c r="M226" s="29" t="s">
        <v>41</v>
      </c>
      <c r="N226" s="29" t="s">
        <v>21</v>
      </c>
      <c r="O226" s="29" t="s">
        <v>26</v>
      </c>
      <c r="P226" s="29" t="s">
        <v>16</v>
      </c>
    </row>
    <row r="227" spans="1:16" x14ac:dyDescent="0.3">
      <c r="A227" s="24" t="str">
        <f t="shared" si="8"/>
        <v>Russell Baker</v>
      </c>
      <c r="B227" s="25">
        <f t="shared" si="9"/>
        <v>10</v>
      </c>
      <c r="C227" s="29" t="s">
        <v>199</v>
      </c>
      <c r="D227" s="29" t="s">
        <v>102</v>
      </c>
      <c r="E227" s="42"/>
      <c r="F227" s="43"/>
      <c r="G227" s="29" t="s">
        <v>18</v>
      </c>
      <c r="H227" s="29" t="s">
        <v>95</v>
      </c>
      <c r="I227" s="29" t="s">
        <v>17</v>
      </c>
      <c r="J227" s="29" t="s">
        <v>13</v>
      </c>
      <c r="K227" s="29" t="s">
        <v>63</v>
      </c>
      <c r="L227" s="29" t="s">
        <v>25</v>
      </c>
      <c r="M227" s="29" t="s">
        <v>15</v>
      </c>
      <c r="N227" s="29" t="s">
        <v>27</v>
      </c>
      <c r="O227" s="29" t="s">
        <v>54</v>
      </c>
      <c r="P227" s="29" t="s">
        <v>34</v>
      </c>
    </row>
    <row r="228" spans="1:16" x14ac:dyDescent="0.3">
      <c r="A228" s="24" t="str">
        <f t="shared" si="8"/>
        <v>Sadhini Wijesiri</v>
      </c>
      <c r="B228" s="25">
        <f t="shared" si="9"/>
        <v>10</v>
      </c>
      <c r="C228" s="29" t="s">
        <v>606</v>
      </c>
      <c r="D228" s="29" t="s">
        <v>607</v>
      </c>
      <c r="E228" s="42" t="s">
        <v>608</v>
      </c>
      <c r="F228" s="43" t="s">
        <v>139</v>
      </c>
      <c r="G228" s="29" t="s">
        <v>63</v>
      </c>
      <c r="H228" s="29" t="s">
        <v>17</v>
      </c>
      <c r="I228" s="29" t="s">
        <v>47</v>
      </c>
      <c r="J228" s="29" t="s">
        <v>41</v>
      </c>
      <c r="K228" s="29" t="s">
        <v>20</v>
      </c>
      <c r="L228" s="29" t="s">
        <v>42</v>
      </c>
      <c r="M228" s="29" t="s">
        <v>13</v>
      </c>
      <c r="N228" s="29" t="s">
        <v>46</v>
      </c>
      <c r="O228" s="29" t="s">
        <v>40</v>
      </c>
      <c r="P228" s="29" t="s">
        <v>15</v>
      </c>
    </row>
    <row r="229" spans="1:16" x14ac:dyDescent="0.3">
      <c r="A229" s="24" t="str">
        <f t="shared" si="8"/>
        <v>Samantha Hanington</v>
      </c>
      <c r="B229" s="25">
        <f t="shared" si="9"/>
        <v>10</v>
      </c>
      <c r="C229" s="30" t="s">
        <v>609</v>
      </c>
      <c r="D229" s="30" t="s">
        <v>610</v>
      </c>
      <c r="E229" s="27" t="s">
        <v>611</v>
      </c>
      <c r="F229" s="28">
        <v>45033</v>
      </c>
      <c r="G229" s="26" t="s">
        <v>63</v>
      </c>
      <c r="H229" s="29" t="s">
        <v>47</v>
      </c>
      <c r="I229" s="29" t="s">
        <v>46</v>
      </c>
      <c r="J229" s="29" t="s">
        <v>37</v>
      </c>
      <c r="K229" s="29" t="s">
        <v>28</v>
      </c>
      <c r="L229" s="29" t="s">
        <v>17</v>
      </c>
      <c r="M229" s="29" t="s">
        <v>20</v>
      </c>
      <c r="N229" s="29" t="s">
        <v>42</v>
      </c>
      <c r="O229" s="29" t="s">
        <v>34</v>
      </c>
      <c r="P229" s="29" t="s">
        <v>25</v>
      </c>
    </row>
    <row r="230" spans="1:16" x14ac:dyDescent="0.3">
      <c r="A230" s="24" t="str">
        <f t="shared" si="8"/>
        <v>Samantha Herdman</v>
      </c>
      <c r="B230" s="25">
        <f t="shared" si="9"/>
        <v>10</v>
      </c>
      <c r="C230" s="26" t="s">
        <v>609</v>
      </c>
      <c r="D230" s="26" t="s">
        <v>612</v>
      </c>
      <c r="E230" s="42"/>
      <c r="F230" s="43"/>
      <c r="G230" s="29" t="s">
        <v>63</v>
      </c>
      <c r="H230" s="29" t="s">
        <v>47</v>
      </c>
      <c r="I230" s="29" t="s">
        <v>18</v>
      </c>
      <c r="J230" s="29" t="s">
        <v>37</v>
      </c>
      <c r="K230" s="29" t="s">
        <v>30</v>
      </c>
      <c r="L230" s="29" t="s">
        <v>46</v>
      </c>
      <c r="M230" s="29" t="s">
        <v>66</v>
      </c>
      <c r="N230" s="29" t="s">
        <v>28</v>
      </c>
      <c r="O230" s="29" t="s">
        <v>54</v>
      </c>
      <c r="P230" s="29" t="s">
        <v>40</v>
      </c>
    </row>
    <row r="231" spans="1:16" x14ac:dyDescent="0.3">
      <c r="A231" s="24" t="str">
        <f t="shared" si="8"/>
        <v>Samantha Richards</v>
      </c>
      <c r="B231" s="25">
        <f t="shared" si="9"/>
        <v>10</v>
      </c>
      <c r="C231" s="26" t="s">
        <v>609</v>
      </c>
      <c r="D231" s="26" t="s">
        <v>613</v>
      </c>
      <c r="E231" s="36" t="s">
        <v>614</v>
      </c>
      <c r="F231" s="37"/>
      <c r="G231" s="26" t="s">
        <v>17</v>
      </c>
      <c r="H231" s="26" t="s">
        <v>25</v>
      </c>
      <c r="I231" s="26" t="s">
        <v>15</v>
      </c>
      <c r="J231" s="26" t="s">
        <v>37</v>
      </c>
      <c r="K231" s="26" t="s">
        <v>63</v>
      </c>
      <c r="L231" s="26" t="s">
        <v>49</v>
      </c>
      <c r="M231" s="26" t="s">
        <v>18</v>
      </c>
      <c r="N231" s="26" t="s">
        <v>30</v>
      </c>
      <c r="O231" s="26" t="s">
        <v>66</v>
      </c>
      <c r="P231" s="26" t="s">
        <v>46</v>
      </c>
    </row>
    <row r="232" spans="1:16" x14ac:dyDescent="0.3">
      <c r="A232" s="24" t="str">
        <f t="shared" si="8"/>
        <v>Sandra May</v>
      </c>
      <c r="B232" s="25">
        <f t="shared" si="9"/>
        <v>10</v>
      </c>
      <c r="C232" s="26" t="s">
        <v>615</v>
      </c>
      <c r="D232" s="26" t="s">
        <v>403</v>
      </c>
      <c r="E232" s="42"/>
      <c r="F232" s="43">
        <v>43325</v>
      </c>
      <c r="G232" s="26" t="s">
        <v>30</v>
      </c>
      <c r="H232" s="26" t="s">
        <v>14</v>
      </c>
      <c r="I232" s="26" t="s">
        <v>18</v>
      </c>
      <c r="J232" s="26" t="s">
        <v>48</v>
      </c>
      <c r="K232" s="26" t="s">
        <v>29</v>
      </c>
      <c r="L232" s="26" t="s">
        <v>12</v>
      </c>
      <c r="M232" s="26" t="s">
        <v>15</v>
      </c>
      <c r="N232" s="26" t="s">
        <v>49</v>
      </c>
      <c r="O232" s="26" t="s">
        <v>27</v>
      </c>
      <c r="P232" s="26" t="s">
        <v>36</v>
      </c>
    </row>
    <row r="233" spans="1:16" x14ac:dyDescent="0.3">
      <c r="A233" s="24" t="str">
        <f t="shared" si="8"/>
        <v>Sarah Baker</v>
      </c>
      <c r="B233" s="25">
        <f t="shared" si="9"/>
        <v>10</v>
      </c>
      <c r="C233" s="26" t="s">
        <v>616</v>
      </c>
      <c r="D233" s="26" t="s">
        <v>102</v>
      </c>
      <c r="E233" s="27" t="s">
        <v>617</v>
      </c>
      <c r="F233" s="31">
        <v>44348</v>
      </c>
      <c r="G233" s="26" t="s">
        <v>42</v>
      </c>
      <c r="H233" s="26" t="s">
        <v>29</v>
      </c>
      <c r="I233" s="26" t="s">
        <v>48</v>
      </c>
      <c r="J233" s="26" t="s">
        <v>30</v>
      </c>
      <c r="K233" s="26" t="s">
        <v>49</v>
      </c>
      <c r="L233" s="26" t="s">
        <v>18</v>
      </c>
      <c r="M233" s="26" t="s">
        <v>58</v>
      </c>
      <c r="N233" s="26" t="s">
        <v>19</v>
      </c>
      <c r="O233" s="26" t="s">
        <v>46</v>
      </c>
      <c r="P233" s="26" t="s">
        <v>16</v>
      </c>
    </row>
    <row r="234" spans="1:16" x14ac:dyDescent="0.3">
      <c r="A234" s="24" t="str">
        <f t="shared" si="8"/>
        <v>Sarah Ossitt</v>
      </c>
      <c r="B234" s="25">
        <f t="shared" si="9"/>
        <v>10</v>
      </c>
      <c r="C234" s="26" t="s">
        <v>616</v>
      </c>
      <c r="D234" s="26" t="s">
        <v>494</v>
      </c>
      <c r="E234" s="42" t="s">
        <v>618</v>
      </c>
      <c r="F234" s="43">
        <v>43537</v>
      </c>
      <c r="G234" s="26" t="s">
        <v>25</v>
      </c>
      <c r="H234" s="26" t="s">
        <v>54</v>
      </c>
      <c r="I234" s="26" t="s">
        <v>18</v>
      </c>
      <c r="J234" s="26" t="s">
        <v>66</v>
      </c>
      <c r="K234" s="26" t="s">
        <v>20</v>
      </c>
      <c r="L234" s="26" t="s">
        <v>27</v>
      </c>
      <c r="M234" s="26" t="s">
        <v>15</v>
      </c>
      <c r="N234" s="26" t="s">
        <v>41</v>
      </c>
      <c r="O234" s="26" t="s">
        <v>16</v>
      </c>
      <c r="P234" s="26" t="s">
        <v>13</v>
      </c>
    </row>
    <row r="235" spans="1:16" x14ac:dyDescent="0.3">
      <c r="A235" s="24" t="str">
        <f t="shared" si="8"/>
        <v>Sascha 2 Jaworski</v>
      </c>
      <c r="B235" s="25">
        <f t="shared" si="9"/>
        <v>10</v>
      </c>
      <c r="C235" s="30" t="s">
        <v>619</v>
      </c>
      <c r="D235" s="30" t="s">
        <v>293</v>
      </c>
      <c r="E235" s="27"/>
      <c r="F235" s="31">
        <v>45074</v>
      </c>
      <c r="G235" s="26" t="s">
        <v>46</v>
      </c>
      <c r="H235" s="26" t="s">
        <v>28</v>
      </c>
      <c r="I235" s="26" t="s">
        <v>13</v>
      </c>
      <c r="J235" s="26" t="s">
        <v>47</v>
      </c>
      <c r="K235" s="26" t="s">
        <v>49</v>
      </c>
      <c r="L235" s="26" t="s">
        <v>14</v>
      </c>
      <c r="M235" s="26" t="s">
        <v>12</v>
      </c>
      <c r="N235" s="26" t="s">
        <v>18</v>
      </c>
      <c r="O235" s="26" t="s">
        <v>15</v>
      </c>
      <c r="P235" s="26" t="s">
        <v>63</v>
      </c>
    </row>
    <row r="236" spans="1:16" x14ac:dyDescent="0.3">
      <c r="A236" s="24" t="str">
        <f t="shared" si="8"/>
        <v>Sascha Jaworski</v>
      </c>
      <c r="B236" s="25">
        <f t="shared" si="9"/>
        <v>10</v>
      </c>
      <c r="C236" s="26" t="s">
        <v>620</v>
      </c>
      <c r="D236" s="26" t="s">
        <v>293</v>
      </c>
      <c r="E236" s="27" t="s">
        <v>294</v>
      </c>
      <c r="F236" s="31"/>
      <c r="G236" s="26" t="s">
        <v>46</v>
      </c>
      <c r="H236" s="26" t="s">
        <v>63</v>
      </c>
      <c r="I236" s="26" t="s">
        <v>13</v>
      </c>
      <c r="J236" s="26" t="s">
        <v>17</v>
      </c>
      <c r="K236" s="26" t="s">
        <v>15</v>
      </c>
      <c r="L236" s="26" t="s">
        <v>47</v>
      </c>
      <c r="M236" s="26" t="s">
        <v>12</v>
      </c>
      <c r="N236" s="26" t="s">
        <v>14</v>
      </c>
      <c r="O236" s="26" t="s">
        <v>18</v>
      </c>
      <c r="P236" s="26" t="s">
        <v>30</v>
      </c>
    </row>
    <row r="237" spans="1:16" x14ac:dyDescent="0.3">
      <c r="A237" s="24" t="str">
        <f t="shared" si="8"/>
        <v>Scott Seymour</v>
      </c>
      <c r="B237" s="25">
        <f t="shared" si="9"/>
        <v>10</v>
      </c>
      <c r="C237" s="26" t="s">
        <v>109</v>
      </c>
      <c r="D237" s="26" t="s">
        <v>621</v>
      </c>
      <c r="E237" s="27" t="s">
        <v>622</v>
      </c>
      <c r="F237" s="31">
        <v>44480</v>
      </c>
      <c r="G237" s="29" t="s">
        <v>16</v>
      </c>
      <c r="H237" s="26" t="s">
        <v>34</v>
      </c>
      <c r="I237" s="29" t="s">
        <v>37</v>
      </c>
      <c r="J237" s="29" t="s">
        <v>46</v>
      </c>
      <c r="K237" s="29" t="s">
        <v>47</v>
      </c>
      <c r="L237" s="29" t="s">
        <v>48</v>
      </c>
      <c r="M237" s="29" t="s">
        <v>58</v>
      </c>
      <c r="N237" s="29" t="s">
        <v>17</v>
      </c>
      <c r="O237" s="29" t="s">
        <v>42</v>
      </c>
      <c r="P237" s="29" t="s">
        <v>29</v>
      </c>
    </row>
    <row r="238" spans="1:16" x14ac:dyDescent="0.3">
      <c r="A238" s="24" t="str">
        <f t="shared" si="8"/>
        <v>Scott Townsend</v>
      </c>
      <c r="B238" s="25">
        <f t="shared" si="9"/>
        <v>10</v>
      </c>
      <c r="C238" s="26" t="s">
        <v>109</v>
      </c>
      <c r="D238" s="26" t="s">
        <v>623</v>
      </c>
      <c r="E238" s="42" t="s">
        <v>624</v>
      </c>
      <c r="F238" s="43">
        <v>43620</v>
      </c>
      <c r="G238" s="26" t="s">
        <v>13</v>
      </c>
      <c r="H238" s="26" t="s">
        <v>40</v>
      </c>
      <c r="I238" s="26" t="s">
        <v>15</v>
      </c>
      <c r="J238" s="26" t="s">
        <v>63</v>
      </c>
      <c r="K238" s="26" t="s">
        <v>46</v>
      </c>
      <c r="L238" s="26" t="s">
        <v>28</v>
      </c>
      <c r="M238" s="26" t="s">
        <v>12</v>
      </c>
      <c r="N238" s="26" t="s">
        <v>25</v>
      </c>
      <c r="O238" s="26" t="s">
        <v>17</v>
      </c>
      <c r="P238" s="26" t="s">
        <v>66</v>
      </c>
    </row>
    <row r="239" spans="1:16" x14ac:dyDescent="0.3">
      <c r="A239" s="24" t="str">
        <f t="shared" si="8"/>
        <v>Scott Walker</v>
      </c>
      <c r="B239" s="25">
        <f t="shared" si="9"/>
        <v>10</v>
      </c>
      <c r="C239" s="26" t="s">
        <v>109</v>
      </c>
      <c r="D239" s="26" t="s">
        <v>625</v>
      </c>
      <c r="E239" s="42" t="s">
        <v>626</v>
      </c>
      <c r="F239" s="43">
        <v>43480</v>
      </c>
      <c r="G239" s="26" t="s">
        <v>46</v>
      </c>
      <c r="H239" s="26" t="s">
        <v>28</v>
      </c>
      <c r="I239" s="26" t="s">
        <v>18</v>
      </c>
      <c r="J239" s="26" t="s">
        <v>25</v>
      </c>
      <c r="K239" s="26" t="s">
        <v>12</v>
      </c>
      <c r="L239" s="26" t="s">
        <v>14</v>
      </c>
      <c r="M239" s="26" t="s">
        <v>13</v>
      </c>
      <c r="N239" s="26" t="s">
        <v>63</v>
      </c>
      <c r="O239" s="26" t="s">
        <v>36</v>
      </c>
      <c r="P239" s="26" t="s">
        <v>19</v>
      </c>
    </row>
    <row r="240" spans="1:16" x14ac:dyDescent="0.3">
      <c r="A240" s="24" t="str">
        <f t="shared" si="8"/>
        <v>Sean Bowes</v>
      </c>
      <c r="B240" s="25">
        <f t="shared" si="9"/>
        <v>10</v>
      </c>
      <c r="C240" s="26" t="s">
        <v>627</v>
      </c>
      <c r="D240" s="26" t="s">
        <v>628</v>
      </c>
      <c r="E240" s="42" t="s">
        <v>629</v>
      </c>
      <c r="F240" s="43" t="s">
        <v>539</v>
      </c>
      <c r="G240" s="29" t="s">
        <v>29</v>
      </c>
      <c r="H240" s="29" t="s">
        <v>30</v>
      </c>
      <c r="I240" s="29" t="s">
        <v>42</v>
      </c>
      <c r="J240" s="29" t="s">
        <v>48</v>
      </c>
      <c r="K240" s="29" t="s">
        <v>13</v>
      </c>
      <c r="L240" s="29" t="s">
        <v>49</v>
      </c>
      <c r="M240" s="29" t="s">
        <v>27</v>
      </c>
      <c r="N240" s="29" t="s">
        <v>25</v>
      </c>
      <c r="O240" s="29" t="s">
        <v>21</v>
      </c>
      <c r="P240" s="29" t="s">
        <v>47</v>
      </c>
    </row>
    <row r="241" spans="1:16" x14ac:dyDescent="0.3">
      <c r="A241" s="24" t="str">
        <f t="shared" si="8"/>
        <v>Shahe Momdjian</v>
      </c>
      <c r="B241" s="25">
        <f t="shared" si="9"/>
        <v>10</v>
      </c>
      <c r="C241" s="26" t="s">
        <v>630</v>
      </c>
      <c r="D241" s="26" t="s">
        <v>631</v>
      </c>
      <c r="E241" s="36" t="s">
        <v>632</v>
      </c>
      <c r="F241" s="37"/>
      <c r="G241" s="26" t="s">
        <v>15</v>
      </c>
      <c r="H241" s="26" t="s">
        <v>18</v>
      </c>
      <c r="I241" s="26" t="s">
        <v>36</v>
      </c>
      <c r="J241" s="26" t="s">
        <v>42</v>
      </c>
      <c r="K241" s="26" t="s">
        <v>30</v>
      </c>
      <c r="L241" s="26" t="s">
        <v>29</v>
      </c>
      <c r="M241" s="26" t="s">
        <v>19</v>
      </c>
      <c r="N241" s="26" t="s">
        <v>47</v>
      </c>
      <c r="O241" s="26" t="s">
        <v>16</v>
      </c>
      <c r="P241" s="26" t="s">
        <v>66</v>
      </c>
    </row>
    <row r="242" spans="1:16" x14ac:dyDescent="0.3">
      <c r="A242" s="24" t="str">
        <f t="shared" si="8"/>
        <v>Sharon Filippou</v>
      </c>
      <c r="B242" s="25">
        <f t="shared" si="9"/>
        <v>10</v>
      </c>
      <c r="C242" s="26" t="s">
        <v>633</v>
      </c>
      <c r="D242" s="26" t="s">
        <v>224</v>
      </c>
      <c r="E242" s="42"/>
      <c r="F242" s="43"/>
      <c r="G242" s="26" t="s">
        <v>54</v>
      </c>
      <c r="H242" s="26" t="s">
        <v>63</v>
      </c>
      <c r="I242" s="26" t="s">
        <v>17</v>
      </c>
      <c r="J242" s="26" t="s">
        <v>47</v>
      </c>
      <c r="K242" s="26" t="s">
        <v>46</v>
      </c>
      <c r="L242" s="26" t="s">
        <v>15</v>
      </c>
      <c r="M242" s="26" t="s">
        <v>48</v>
      </c>
      <c r="N242" s="26" t="s">
        <v>37</v>
      </c>
      <c r="O242" s="26" t="s">
        <v>20</v>
      </c>
      <c r="P242" s="26" t="s">
        <v>66</v>
      </c>
    </row>
    <row r="243" spans="1:16" x14ac:dyDescent="0.3">
      <c r="A243" s="24" t="str">
        <f t="shared" si="8"/>
        <v>Sian Griffiths</v>
      </c>
      <c r="B243" s="25">
        <f t="shared" si="9"/>
        <v>10</v>
      </c>
      <c r="C243" s="30" t="s">
        <v>634</v>
      </c>
      <c r="D243" s="30" t="s">
        <v>89</v>
      </c>
      <c r="E243" s="27" t="s">
        <v>635</v>
      </c>
      <c r="F243" s="31">
        <v>45033</v>
      </c>
      <c r="G243" s="26" t="s">
        <v>28</v>
      </c>
      <c r="H243" s="29" t="s">
        <v>37</v>
      </c>
      <c r="I243" s="29" t="s">
        <v>66</v>
      </c>
      <c r="J243" s="29" t="s">
        <v>47</v>
      </c>
      <c r="K243" s="29" t="s">
        <v>18</v>
      </c>
      <c r="L243" s="29" t="s">
        <v>15</v>
      </c>
      <c r="M243" s="29" t="s">
        <v>41</v>
      </c>
      <c r="N243" s="29" t="s">
        <v>20</v>
      </c>
      <c r="O243" s="29" t="s">
        <v>63</v>
      </c>
      <c r="P243" s="29" t="s">
        <v>27</v>
      </c>
    </row>
    <row r="244" spans="1:16" x14ac:dyDescent="0.3">
      <c r="A244" s="24" t="str">
        <f t="shared" si="8"/>
        <v>Simon Bruck</v>
      </c>
      <c r="B244" s="25">
        <f t="shared" si="9"/>
        <v>10</v>
      </c>
      <c r="C244" s="30" t="s">
        <v>636</v>
      </c>
      <c r="D244" s="30" t="s">
        <v>637</v>
      </c>
      <c r="E244" s="42" t="s">
        <v>638</v>
      </c>
      <c r="F244" s="31">
        <v>45033</v>
      </c>
      <c r="G244" s="26" t="s">
        <v>15</v>
      </c>
      <c r="H244" s="29" t="s">
        <v>29</v>
      </c>
      <c r="I244" s="29" t="s">
        <v>25</v>
      </c>
      <c r="J244" s="29" t="s">
        <v>12</v>
      </c>
      <c r="K244" s="29" t="s">
        <v>20</v>
      </c>
      <c r="L244" s="29" t="s">
        <v>14</v>
      </c>
      <c r="M244" s="29" t="s">
        <v>35</v>
      </c>
      <c r="N244" s="29" t="s">
        <v>40</v>
      </c>
      <c r="O244" s="29" t="s">
        <v>16</v>
      </c>
      <c r="P244" s="29" t="s">
        <v>36</v>
      </c>
    </row>
    <row r="245" spans="1:16" x14ac:dyDescent="0.3">
      <c r="A245" s="24" t="str">
        <f t="shared" si="8"/>
        <v>Sonia Blackford</v>
      </c>
      <c r="B245" s="25">
        <f t="shared" si="9"/>
        <v>10</v>
      </c>
      <c r="C245" s="26" t="s">
        <v>639</v>
      </c>
      <c r="D245" s="26" t="s">
        <v>640</v>
      </c>
      <c r="E245" s="42" t="s">
        <v>641</v>
      </c>
      <c r="F245" s="43">
        <v>43624</v>
      </c>
      <c r="G245" s="26" t="s">
        <v>47</v>
      </c>
      <c r="H245" s="26" t="s">
        <v>42</v>
      </c>
      <c r="I245" s="26" t="s">
        <v>54</v>
      </c>
      <c r="J245" s="26" t="s">
        <v>48</v>
      </c>
      <c r="K245" s="26" t="s">
        <v>28</v>
      </c>
      <c r="L245" s="26" t="s">
        <v>15</v>
      </c>
      <c r="M245" s="26" t="s">
        <v>49</v>
      </c>
      <c r="N245" s="26" t="s">
        <v>34</v>
      </c>
      <c r="O245" s="26" t="s">
        <v>66</v>
      </c>
      <c r="P245" s="26" t="s">
        <v>35</v>
      </c>
    </row>
    <row r="246" spans="1:16" x14ac:dyDescent="0.3">
      <c r="A246" s="24" t="str">
        <f t="shared" si="8"/>
        <v>Sooze Flood</v>
      </c>
      <c r="B246" s="25">
        <f t="shared" si="9"/>
        <v>5</v>
      </c>
      <c r="C246" s="26" t="s">
        <v>642</v>
      </c>
      <c r="D246" s="26" t="s">
        <v>643</v>
      </c>
      <c r="E246" s="27"/>
      <c r="F246" s="28">
        <v>43306</v>
      </c>
      <c r="G246" s="26" t="s">
        <v>34</v>
      </c>
      <c r="H246" s="26" t="s">
        <v>66</v>
      </c>
      <c r="I246" s="26" t="s">
        <v>29</v>
      </c>
      <c r="J246" s="26" t="s">
        <v>27</v>
      </c>
      <c r="K246" s="26" t="s">
        <v>42</v>
      </c>
      <c r="L246" s="26"/>
      <c r="M246" s="26"/>
      <c r="N246" s="26"/>
      <c r="O246" s="26"/>
      <c r="P246" s="26"/>
    </row>
    <row r="247" spans="1:16" x14ac:dyDescent="0.3">
      <c r="A247" s="24" t="str">
        <f t="shared" si="8"/>
        <v>Stacy Thomas</v>
      </c>
      <c r="B247" s="25">
        <f t="shared" si="9"/>
        <v>10</v>
      </c>
      <c r="C247" s="38" t="s">
        <v>644</v>
      </c>
      <c r="D247" s="38" t="s">
        <v>645</v>
      </c>
      <c r="E247" s="34" t="s">
        <v>646</v>
      </c>
      <c r="F247" s="35" t="s">
        <v>76</v>
      </c>
      <c r="G247" s="34" t="s">
        <v>29</v>
      </c>
      <c r="H247" s="34" t="s">
        <v>66</v>
      </c>
      <c r="I247" s="34" t="s">
        <v>46</v>
      </c>
      <c r="J247" s="34" t="s">
        <v>12</v>
      </c>
      <c r="K247" s="34" t="s">
        <v>28</v>
      </c>
      <c r="L247" s="34" t="s">
        <v>49</v>
      </c>
      <c r="M247" s="34" t="s">
        <v>54</v>
      </c>
      <c r="N247" s="34" t="s">
        <v>26</v>
      </c>
      <c r="O247" s="34" t="s">
        <v>19</v>
      </c>
      <c r="P247" s="34" t="s">
        <v>30</v>
      </c>
    </row>
    <row r="248" spans="1:16" x14ac:dyDescent="0.3">
      <c r="A248" s="24" t="str">
        <f t="shared" si="8"/>
        <v>Steph Brindal</v>
      </c>
      <c r="B248" s="25">
        <f t="shared" si="9"/>
        <v>5</v>
      </c>
      <c r="C248" s="26" t="s">
        <v>647</v>
      </c>
      <c r="D248" s="26" t="s">
        <v>648</v>
      </c>
      <c r="E248" s="27"/>
      <c r="F248" s="28">
        <v>43306</v>
      </c>
      <c r="G248" s="26" t="s">
        <v>47</v>
      </c>
      <c r="H248" s="26" t="s">
        <v>12</v>
      </c>
      <c r="I248" s="26" t="s">
        <v>14</v>
      </c>
      <c r="J248" s="26" t="s">
        <v>34</v>
      </c>
      <c r="K248" s="26" t="s">
        <v>48</v>
      </c>
      <c r="L248" s="26"/>
      <c r="M248" s="26"/>
      <c r="N248" s="26"/>
      <c r="O248" s="26"/>
      <c r="P248" s="26"/>
    </row>
    <row r="249" spans="1:16" x14ac:dyDescent="0.3">
      <c r="A249" s="24" t="str">
        <f t="shared" si="8"/>
        <v>Steven Turner</v>
      </c>
      <c r="B249" s="25">
        <f t="shared" si="9"/>
        <v>10</v>
      </c>
      <c r="C249" s="30" t="s">
        <v>649</v>
      </c>
      <c r="D249" s="30" t="s">
        <v>650</v>
      </c>
      <c r="E249" s="27" t="s">
        <v>651</v>
      </c>
      <c r="F249" s="28" t="s">
        <v>489</v>
      </c>
      <c r="G249" s="29" t="s">
        <v>95</v>
      </c>
      <c r="H249" s="29" t="s">
        <v>48</v>
      </c>
      <c r="I249" s="29" t="s">
        <v>12</v>
      </c>
      <c r="J249" s="29" t="s">
        <v>20</v>
      </c>
      <c r="K249" s="29" t="s">
        <v>40</v>
      </c>
      <c r="L249" s="29" t="s">
        <v>54</v>
      </c>
      <c r="M249" s="29" t="s">
        <v>37</v>
      </c>
      <c r="N249" s="29" t="s">
        <v>34</v>
      </c>
      <c r="O249" s="29" t="s">
        <v>18</v>
      </c>
      <c r="P249" s="29" t="s">
        <v>36</v>
      </c>
    </row>
    <row r="250" spans="1:16" x14ac:dyDescent="0.3">
      <c r="A250" s="24" t="str">
        <f t="shared" si="8"/>
        <v>Stuart Freeman</v>
      </c>
      <c r="B250" s="25">
        <f t="shared" si="9"/>
        <v>10</v>
      </c>
      <c r="C250" s="26" t="s">
        <v>652</v>
      </c>
      <c r="D250" s="26" t="s">
        <v>653</v>
      </c>
      <c r="E250" s="42" t="s">
        <v>654</v>
      </c>
      <c r="F250" s="43">
        <v>43454</v>
      </c>
      <c r="G250" s="26" t="s">
        <v>34</v>
      </c>
      <c r="H250" s="26" t="s">
        <v>58</v>
      </c>
      <c r="I250" s="26" t="s">
        <v>27</v>
      </c>
      <c r="J250" s="26" t="s">
        <v>35</v>
      </c>
      <c r="K250" s="26" t="s">
        <v>48</v>
      </c>
      <c r="L250" s="26" t="s">
        <v>14</v>
      </c>
      <c r="M250" s="26" t="s">
        <v>20</v>
      </c>
      <c r="N250" s="26" t="s">
        <v>63</v>
      </c>
      <c r="O250" s="26" t="s">
        <v>16</v>
      </c>
      <c r="P250" s="26" t="s">
        <v>17</v>
      </c>
    </row>
    <row r="251" spans="1:16" x14ac:dyDescent="0.3">
      <c r="A251" s="24" t="str">
        <f t="shared" si="8"/>
        <v>Sunny Boy Manayaga</v>
      </c>
      <c r="B251" s="25">
        <f t="shared" si="9"/>
        <v>10</v>
      </c>
      <c r="C251" s="26" t="s">
        <v>655</v>
      </c>
      <c r="D251" s="26" t="s">
        <v>656</v>
      </c>
      <c r="E251" s="36" t="s">
        <v>657</v>
      </c>
      <c r="F251" s="37">
        <v>44712</v>
      </c>
      <c r="G251" s="26" t="s">
        <v>95</v>
      </c>
      <c r="H251" s="29" t="s">
        <v>25</v>
      </c>
      <c r="I251" s="29" t="s">
        <v>15</v>
      </c>
      <c r="J251" s="29" t="s">
        <v>48</v>
      </c>
      <c r="K251" s="26" t="s">
        <v>14</v>
      </c>
      <c r="L251" s="26" t="s">
        <v>46</v>
      </c>
      <c r="M251" s="26" t="s">
        <v>66</v>
      </c>
      <c r="N251" s="26" t="s">
        <v>20</v>
      </c>
      <c r="O251" s="26" t="s">
        <v>28</v>
      </c>
      <c r="P251" s="26" t="s">
        <v>41</v>
      </c>
    </row>
    <row r="252" spans="1:16" x14ac:dyDescent="0.3">
      <c r="A252" s="24" t="str">
        <f t="shared" si="8"/>
        <v>Tania Forward</v>
      </c>
      <c r="B252" s="25">
        <f t="shared" si="9"/>
        <v>10</v>
      </c>
      <c r="C252" s="26" t="s">
        <v>658</v>
      </c>
      <c r="D252" s="26" t="s">
        <v>659</v>
      </c>
      <c r="E252" s="36" t="s">
        <v>660</v>
      </c>
      <c r="F252" s="37">
        <v>44644</v>
      </c>
      <c r="G252" s="26" t="s">
        <v>54</v>
      </c>
      <c r="H252" s="29" t="s">
        <v>49</v>
      </c>
      <c r="I252" s="29" t="s">
        <v>17</v>
      </c>
      <c r="J252" s="29" t="s">
        <v>13</v>
      </c>
      <c r="K252" s="29" t="s">
        <v>14</v>
      </c>
      <c r="L252" s="29" t="s">
        <v>41</v>
      </c>
      <c r="M252" s="29" t="s">
        <v>15</v>
      </c>
      <c r="N252" s="29" t="s">
        <v>30</v>
      </c>
      <c r="O252" s="29" t="s">
        <v>19</v>
      </c>
      <c r="P252" s="29" t="s">
        <v>28</v>
      </c>
    </row>
    <row r="253" spans="1:16" x14ac:dyDescent="0.3">
      <c r="A253" s="24" t="str">
        <f t="shared" si="8"/>
        <v>Tara Ligan</v>
      </c>
      <c r="B253" s="25">
        <f t="shared" si="9"/>
        <v>10</v>
      </c>
      <c r="C253" s="47" t="s">
        <v>661</v>
      </c>
      <c r="D253" s="47" t="s">
        <v>662</v>
      </c>
      <c r="E253" s="36" t="s">
        <v>663</v>
      </c>
      <c r="F253" s="37">
        <v>44617</v>
      </c>
      <c r="G253" s="26" t="s">
        <v>15</v>
      </c>
      <c r="H253" s="29" t="s">
        <v>47</v>
      </c>
      <c r="I253" s="29" t="s">
        <v>18</v>
      </c>
      <c r="J253" s="29" t="s">
        <v>17</v>
      </c>
      <c r="K253" s="26" t="s">
        <v>66</v>
      </c>
      <c r="L253" s="26" t="s">
        <v>34</v>
      </c>
      <c r="M253" s="26" t="s">
        <v>13</v>
      </c>
      <c r="N253" s="26" t="s">
        <v>46</v>
      </c>
      <c r="O253" s="26" t="s">
        <v>63</v>
      </c>
      <c r="P253" s="26" t="s">
        <v>54</v>
      </c>
    </row>
    <row r="254" spans="1:16" x14ac:dyDescent="0.3">
      <c r="A254" s="24" t="str">
        <f t="shared" si="8"/>
        <v>Tara van Wyk</v>
      </c>
      <c r="B254" s="25">
        <f t="shared" si="9"/>
        <v>10</v>
      </c>
      <c r="C254" s="30" t="s">
        <v>661</v>
      </c>
      <c r="D254" s="30" t="s">
        <v>664</v>
      </c>
      <c r="E254" s="27" t="s">
        <v>665</v>
      </c>
      <c r="F254" s="28" t="s">
        <v>139</v>
      </c>
      <c r="G254" s="29" t="s">
        <v>29</v>
      </c>
      <c r="H254" s="29" t="s">
        <v>20</v>
      </c>
      <c r="I254" s="29" t="s">
        <v>36</v>
      </c>
      <c r="J254" s="29" t="s">
        <v>19</v>
      </c>
      <c r="K254" s="29" t="s">
        <v>37</v>
      </c>
      <c r="L254" s="29" t="s">
        <v>34</v>
      </c>
      <c r="M254" s="29" t="s">
        <v>28</v>
      </c>
      <c r="N254" s="29" t="s">
        <v>15</v>
      </c>
      <c r="O254" s="29" t="s">
        <v>18</v>
      </c>
      <c r="P254" s="29" t="s">
        <v>73</v>
      </c>
    </row>
    <row r="255" spans="1:16" x14ac:dyDescent="0.3">
      <c r="A255" s="24" t="str">
        <f t="shared" si="8"/>
        <v>Taryn Greenberg</v>
      </c>
      <c r="B255" s="25">
        <f t="shared" si="9"/>
        <v>10</v>
      </c>
      <c r="C255" s="26" t="s">
        <v>666</v>
      </c>
      <c r="D255" s="26" t="s">
        <v>667</v>
      </c>
      <c r="E255" s="42" t="s">
        <v>668</v>
      </c>
      <c r="F255" s="43">
        <v>43677</v>
      </c>
      <c r="G255" s="26" t="s">
        <v>18</v>
      </c>
      <c r="H255" s="26" t="s">
        <v>12</v>
      </c>
      <c r="I255" s="26" t="s">
        <v>15</v>
      </c>
      <c r="J255" s="26" t="s">
        <v>21</v>
      </c>
      <c r="K255" s="26" t="s">
        <v>25</v>
      </c>
      <c r="L255" s="26" t="s">
        <v>41</v>
      </c>
      <c r="M255" s="26" t="s">
        <v>58</v>
      </c>
      <c r="N255" s="26" t="s">
        <v>63</v>
      </c>
      <c r="O255" s="26" t="s">
        <v>66</v>
      </c>
      <c r="P255" s="26" t="s">
        <v>14</v>
      </c>
    </row>
    <row r="256" spans="1:16" x14ac:dyDescent="0.3">
      <c r="A256" s="24" t="str">
        <f t="shared" si="8"/>
        <v>Teresa Anderson</v>
      </c>
      <c r="B256" s="25">
        <f t="shared" si="9"/>
        <v>10</v>
      </c>
      <c r="C256" s="26" t="s">
        <v>669</v>
      </c>
      <c r="D256" s="26" t="s">
        <v>670</v>
      </c>
      <c r="E256" s="42" t="s">
        <v>671</v>
      </c>
      <c r="F256" s="43">
        <v>43683</v>
      </c>
      <c r="G256" s="26" t="s">
        <v>15</v>
      </c>
      <c r="H256" s="26" t="s">
        <v>54</v>
      </c>
      <c r="I256" s="26" t="s">
        <v>12</v>
      </c>
      <c r="J256" s="26" t="s">
        <v>66</v>
      </c>
      <c r="K256" s="26" t="s">
        <v>28</v>
      </c>
      <c r="L256" s="26" t="s">
        <v>50</v>
      </c>
      <c r="M256" s="26" t="s">
        <v>46</v>
      </c>
      <c r="N256" s="26" t="s">
        <v>25</v>
      </c>
      <c r="O256" s="26" t="s">
        <v>13</v>
      </c>
      <c r="P256" s="26" t="s">
        <v>19</v>
      </c>
    </row>
    <row r="257" spans="1:16" x14ac:dyDescent="0.3">
      <c r="A257" s="24" t="str">
        <f t="shared" si="8"/>
        <v>Teresa Farish</v>
      </c>
      <c r="B257" s="25">
        <f t="shared" si="9"/>
        <v>5</v>
      </c>
      <c r="C257" s="26" t="s">
        <v>669</v>
      </c>
      <c r="D257" s="26" t="s">
        <v>672</v>
      </c>
      <c r="E257" s="42"/>
      <c r="F257" s="43">
        <v>43307</v>
      </c>
      <c r="G257" s="26" t="s">
        <v>21</v>
      </c>
      <c r="H257" s="26" t="s">
        <v>12</v>
      </c>
      <c r="I257" s="26" t="s">
        <v>18</v>
      </c>
      <c r="J257" s="26" t="s">
        <v>66</v>
      </c>
      <c r="K257" s="26" t="s">
        <v>16</v>
      </c>
      <c r="L257" s="26"/>
      <c r="M257" s="26"/>
      <c r="N257" s="26"/>
      <c r="O257" s="26"/>
      <c r="P257" s="26"/>
    </row>
    <row r="258" spans="1:16" x14ac:dyDescent="0.3">
      <c r="A258" s="24" t="str">
        <f t="shared" si="8"/>
        <v>Thomas Haerland</v>
      </c>
      <c r="B258" s="25">
        <f t="shared" si="9"/>
        <v>10</v>
      </c>
      <c r="C258" s="26" t="s">
        <v>645</v>
      </c>
      <c r="D258" s="26" t="s">
        <v>359</v>
      </c>
      <c r="E258" s="27" t="s">
        <v>673</v>
      </c>
      <c r="F258" s="31">
        <v>43866</v>
      </c>
      <c r="G258" s="26" t="s">
        <v>47</v>
      </c>
      <c r="H258" s="26" t="s">
        <v>54</v>
      </c>
      <c r="I258" s="26" t="s">
        <v>18</v>
      </c>
      <c r="J258" s="26" t="s">
        <v>20</v>
      </c>
      <c r="K258" s="26" t="s">
        <v>66</v>
      </c>
      <c r="L258" s="26" t="s">
        <v>15</v>
      </c>
      <c r="M258" s="26" t="s">
        <v>95</v>
      </c>
      <c r="N258" s="26" t="s">
        <v>29</v>
      </c>
      <c r="O258" s="26" t="s">
        <v>25</v>
      </c>
      <c r="P258" s="26" t="s">
        <v>37</v>
      </c>
    </row>
    <row r="259" spans="1:16" x14ac:dyDescent="0.3">
      <c r="A259" s="24" t="str">
        <f t="shared" si="8"/>
        <v>Tina Souksamrane</v>
      </c>
      <c r="B259" s="25">
        <f t="shared" si="9"/>
        <v>10</v>
      </c>
      <c r="C259" s="26" t="s">
        <v>674</v>
      </c>
      <c r="D259" s="26" t="s">
        <v>675</v>
      </c>
      <c r="E259" s="42" t="s">
        <v>676</v>
      </c>
      <c r="F259" s="43">
        <v>43473</v>
      </c>
      <c r="G259" s="26" t="s">
        <v>47</v>
      </c>
      <c r="H259" s="26" t="s">
        <v>63</v>
      </c>
      <c r="I259" s="26" t="s">
        <v>34</v>
      </c>
      <c r="J259" s="26" t="s">
        <v>28</v>
      </c>
      <c r="K259" s="26" t="s">
        <v>58</v>
      </c>
      <c r="L259" s="26" t="s">
        <v>54</v>
      </c>
      <c r="M259" s="26" t="s">
        <v>66</v>
      </c>
      <c r="N259" s="26" t="s">
        <v>18</v>
      </c>
      <c r="O259" s="26" t="s">
        <v>15</v>
      </c>
      <c r="P259" s="26" t="s">
        <v>20</v>
      </c>
    </row>
    <row r="260" spans="1:16" x14ac:dyDescent="0.3">
      <c r="A260" s="24" t="str">
        <f t="shared" si="8"/>
        <v>Tisa van den Heuvel</v>
      </c>
      <c r="B260" s="25">
        <f t="shared" si="9"/>
        <v>10</v>
      </c>
      <c r="C260" s="51" t="s">
        <v>677</v>
      </c>
      <c r="D260" s="51" t="s">
        <v>678</v>
      </c>
      <c r="E260" s="52" t="s">
        <v>679</v>
      </c>
      <c r="F260" s="53">
        <v>43634</v>
      </c>
      <c r="G260" s="51" t="s">
        <v>16</v>
      </c>
      <c r="H260" s="51" t="s">
        <v>18</v>
      </c>
      <c r="I260" s="51" t="s">
        <v>27</v>
      </c>
      <c r="J260" s="51" t="s">
        <v>15</v>
      </c>
      <c r="K260" s="51" t="s">
        <v>34</v>
      </c>
      <c r="L260" s="51" t="s">
        <v>58</v>
      </c>
      <c r="M260" s="51" t="s">
        <v>95</v>
      </c>
      <c r="N260" s="51" t="s">
        <v>35</v>
      </c>
      <c r="O260" s="51" t="s">
        <v>36</v>
      </c>
      <c r="P260" s="51" t="s">
        <v>37</v>
      </c>
    </row>
    <row r="261" spans="1:16" x14ac:dyDescent="0.3">
      <c r="A261" s="24" t="str">
        <f t="shared" si="8"/>
        <v>Tom Rapley</v>
      </c>
      <c r="B261" s="25">
        <f t="shared" si="9"/>
        <v>10</v>
      </c>
      <c r="C261" s="51" t="s">
        <v>680</v>
      </c>
      <c r="D261" s="51" t="s">
        <v>681</v>
      </c>
      <c r="E261" s="52" t="s">
        <v>682</v>
      </c>
      <c r="F261" s="53">
        <v>43541</v>
      </c>
      <c r="G261" s="51" t="s">
        <v>73</v>
      </c>
      <c r="H261" s="51" t="s">
        <v>58</v>
      </c>
      <c r="I261" s="51" t="s">
        <v>27</v>
      </c>
      <c r="J261" s="51" t="s">
        <v>12</v>
      </c>
      <c r="K261" s="51" t="s">
        <v>29</v>
      </c>
      <c r="L261" s="51" t="s">
        <v>16</v>
      </c>
      <c r="M261" s="51" t="s">
        <v>34</v>
      </c>
      <c r="N261" s="51" t="s">
        <v>42</v>
      </c>
      <c r="O261" s="51" t="s">
        <v>21</v>
      </c>
      <c r="P261" s="51" t="s">
        <v>26</v>
      </c>
    </row>
    <row r="262" spans="1:16" x14ac:dyDescent="0.3">
      <c r="A262" s="24" t="str">
        <f t="shared" si="8"/>
        <v>Toni Eyles</v>
      </c>
      <c r="B262" s="25">
        <f t="shared" si="9"/>
        <v>10</v>
      </c>
      <c r="C262" s="54" t="s">
        <v>683</v>
      </c>
      <c r="D262" s="54" t="s">
        <v>684</v>
      </c>
      <c r="E262" s="52"/>
      <c r="F262" s="53">
        <v>45113</v>
      </c>
      <c r="G262" s="55" t="s">
        <v>66</v>
      </c>
      <c r="H262" s="55" t="s">
        <v>47</v>
      </c>
      <c r="I262" s="55" t="s">
        <v>14</v>
      </c>
      <c r="J262" s="55" t="s">
        <v>20</v>
      </c>
      <c r="K262" s="55" t="s">
        <v>49</v>
      </c>
      <c r="L262" s="55" t="s">
        <v>17</v>
      </c>
      <c r="M262" s="55" t="s">
        <v>48</v>
      </c>
      <c r="N262" s="55" t="s">
        <v>46</v>
      </c>
      <c r="O262" s="55" t="s">
        <v>28</v>
      </c>
      <c r="P262" s="55" t="s">
        <v>34</v>
      </c>
    </row>
    <row r="263" spans="1:16" x14ac:dyDescent="0.3">
      <c r="A263" s="24" t="str">
        <f t="shared" si="8"/>
        <v>Toni-Maree  Hannan</v>
      </c>
      <c r="B263" s="25">
        <f t="shared" si="9"/>
        <v>10</v>
      </c>
      <c r="C263" s="56" t="s">
        <v>685</v>
      </c>
      <c r="D263" s="56" t="s">
        <v>388</v>
      </c>
      <c r="E263" s="57" t="s">
        <v>686</v>
      </c>
      <c r="F263" s="58" t="s">
        <v>687</v>
      </c>
      <c r="G263" s="57" t="s">
        <v>47</v>
      </c>
      <c r="H263" s="57" t="s">
        <v>48</v>
      </c>
      <c r="I263" s="57" t="s">
        <v>36</v>
      </c>
      <c r="J263" s="57" t="s">
        <v>37</v>
      </c>
      <c r="K263" s="57" t="s">
        <v>29</v>
      </c>
      <c r="L263" s="57" t="s">
        <v>30</v>
      </c>
      <c r="M263" s="57" t="s">
        <v>54</v>
      </c>
      <c r="N263" s="57" t="s">
        <v>66</v>
      </c>
      <c r="O263" s="57" t="s">
        <v>40</v>
      </c>
      <c r="P263" s="57" t="s">
        <v>34</v>
      </c>
    </row>
    <row r="264" spans="1:16" x14ac:dyDescent="0.3">
      <c r="A264" s="24" t="str">
        <f t="shared" si="8"/>
        <v>Tres Montero</v>
      </c>
      <c r="B264" s="25">
        <f t="shared" si="9"/>
        <v>10</v>
      </c>
      <c r="C264" s="51" t="s">
        <v>688</v>
      </c>
      <c r="D264" s="51" t="s">
        <v>689</v>
      </c>
      <c r="E264" s="52" t="s">
        <v>690</v>
      </c>
      <c r="F264" s="53">
        <v>43615</v>
      </c>
      <c r="G264" s="51" t="s">
        <v>63</v>
      </c>
      <c r="H264" s="51" t="s">
        <v>95</v>
      </c>
      <c r="I264" s="51" t="s">
        <v>20</v>
      </c>
      <c r="J264" s="51" t="s">
        <v>66</v>
      </c>
      <c r="K264" s="51" t="s">
        <v>27</v>
      </c>
      <c r="L264" s="51" t="s">
        <v>54</v>
      </c>
      <c r="M264" s="51" t="s">
        <v>40</v>
      </c>
      <c r="N264" s="51" t="s">
        <v>13</v>
      </c>
      <c r="O264" s="51" t="s">
        <v>17</v>
      </c>
      <c r="P264" s="51" t="s">
        <v>47</v>
      </c>
    </row>
    <row r="265" spans="1:16" x14ac:dyDescent="0.3">
      <c r="A265" s="24" t="str">
        <f t="shared" si="8"/>
        <v>Trine Vozzo</v>
      </c>
      <c r="B265" s="25">
        <f t="shared" si="9"/>
        <v>10</v>
      </c>
      <c r="C265" s="55" t="s">
        <v>691</v>
      </c>
      <c r="D265" s="55" t="s">
        <v>451</v>
      </c>
      <c r="E265" s="52"/>
      <c r="F265" s="53"/>
      <c r="G265" s="55" t="s">
        <v>35</v>
      </c>
      <c r="H265" s="55" t="s">
        <v>95</v>
      </c>
      <c r="I265" s="55" t="s">
        <v>47</v>
      </c>
      <c r="J265" s="55" t="s">
        <v>20</v>
      </c>
      <c r="K265" s="55" t="s">
        <v>37</v>
      </c>
      <c r="L265" s="55" t="s">
        <v>15</v>
      </c>
      <c r="M265" s="55" t="s">
        <v>46</v>
      </c>
      <c r="N265" s="55" t="s">
        <v>16</v>
      </c>
      <c r="O265" s="55" t="s">
        <v>28</v>
      </c>
      <c r="P265" s="55" t="s">
        <v>12</v>
      </c>
    </row>
    <row r="266" spans="1:16" x14ac:dyDescent="0.3">
      <c r="A266" s="24" t="s">
        <v>692</v>
      </c>
      <c r="B266" s="25">
        <v>34</v>
      </c>
      <c r="C266" s="56" t="s">
        <v>693</v>
      </c>
      <c r="D266" s="56" t="s">
        <v>694</v>
      </c>
      <c r="E266" s="57" t="s">
        <v>695</v>
      </c>
      <c r="F266" s="58">
        <v>45849</v>
      </c>
      <c r="G266" s="57" t="s">
        <v>54</v>
      </c>
      <c r="H266" s="57" t="s">
        <v>30</v>
      </c>
      <c r="I266" s="57" t="s">
        <v>47</v>
      </c>
      <c r="J266" s="57" t="s">
        <v>37</v>
      </c>
      <c r="K266" s="57" t="s">
        <v>63</v>
      </c>
      <c r="L266" s="57" t="s">
        <v>28</v>
      </c>
      <c r="M266" s="57" t="s">
        <v>49</v>
      </c>
      <c r="N266" s="57" t="s">
        <v>18</v>
      </c>
      <c r="O266" s="57" t="s">
        <v>16</v>
      </c>
      <c r="P266" s="57" t="s">
        <v>25</v>
      </c>
    </row>
    <row r="267" spans="1:16" x14ac:dyDescent="0.3">
      <c r="A267" s="24" t="str">
        <f t="shared" ref="A267:A285" si="10">CONCATENATE(C267," ",D267)</f>
        <v>Vanessa Treverrow</v>
      </c>
      <c r="B267" s="25">
        <f t="shared" ref="B267:B285" si="11">IF(COUNTA(G267:AN267)=SUMPRODUCT((G267:AN267&lt;&gt;"")/COUNTIF(G267:AN267,G267:AN267&amp;"")),COUNTA(G267:AN267),"Duplicate")</f>
        <v>5</v>
      </c>
      <c r="C267" s="51" t="s">
        <v>696</v>
      </c>
      <c r="D267" s="51" t="s">
        <v>697</v>
      </c>
      <c r="E267" s="52" t="s">
        <v>698</v>
      </c>
      <c r="F267" s="53">
        <v>43024</v>
      </c>
      <c r="G267" s="51" t="s">
        <v>29</v>
      </c>
      <c r="H267" s="51" t="s">
        <v>48</v>
      </c>
      <c r="I267" s="51" t="s">
        <v>47</v>
      </c>
      <c r="J267" s="51" t="s">
        <v>18</v>
      </c>
      <c r="K267" s="51" t="s">
        <v>28</v>
      </c>
      <c r="L267" s="51"/>
      <c r="M267" s="51"/>
      <c r="N267" s="51"/>
      <c r="O267" s="51"/>
      <c r="P267" s="51"/>
    </row>
    <row r="268" spans="1:16" x14ac:dyDescent="0.3">
      <c r="A268" s="24" t="str">
        <f t="shared" si="10"/>
        <v>Victor Rodrigues</v>
      </c>
      <c r="B268" s="25">
        <f t="shared" si="11"/>
        <v>5</v>
      </c>
      <c r="C268" s="51" t="s">
        <v>699</v>
      </c>
      <c r="D268" s="51" t="s">
        <v>700</v>
      </c>
      <c r="E268" s="59"/>
      <c r="F268" s="60">
        <v>43307</v>
      </c>
      <c r="G268" s="51" t="s">
        <v>25</v>
      </c>
      <c r="H268" s="51" t="s">
        <v>29</v>
      </c>
      <c r="I268" s="51" t="s">
        <v>15</v>
      </c>
      <c r="J268" s="51" t="s">
        <v>58</v>
      </c>
      <c r="K268" s="51" t="s">
        <v>19</v>
      </c>
      <c r="L268" s="51"/>
      <c r="M268" s="51"/>
      <c r="N268" s="51"/>
      <c r="O268" s="51"/>
      <c r="P268" s="51"/>
    </row>
    <row r="269" spans="1:16" x14ac:dyDescent="0.3">
      <c r="A269" s="24" t="str">
        <f t="shared" si="10"/>
        <v>Warren Strange</v>
      </c>
      <c r="B269" s="25">
        <f t="shared" si="11"/>
        <v>10</v>
      </c>
      <c r="C269" s="51" t="s">
        <v>701</v>
      </c>
      <c r="D269" s="51" t="s">
        <v>702</v>
      </c>
      <c r="E269" s="59" t="s">
        <v>703</v>
      </c>
      <c r="F269" s="60">
        <v>45033</v>
      </c>
      <c r="G269" s="51" t="s">
        <v>12</v>
      </c>
      <c r="H269" s="55" t="s">
        <v>15</v>
      </c>
      <c r="I269" s="55" t="s">
        <v>95</v>
      </c>
      <c r="J269" s="55" t="s">
        <v>40</v>
      </c>
      <c r="K269" s="55" t="s">
        <v>14</v>
      </c>
      <c r="L269" s="61" t="s">
        <v>37</v>
      </c>
      <c r="M269" s="61" t="s">
        <v>49</v>
      </c>
      <c r="N269" s="61" t="s">
        <v>66</v>
      </c>
      <c r="O269" s="61" t="s">
        <v>48</v>
      </c>
      <c r="P269" s="61" t="s">
        <v>25</v>
      </c>
    </row>
    <row r="270" spans="1:16" x14ac:dyDescent="0.3">
      <c r="A270" s="24" t="str">
        <f t="shared" si="10"/>
        <v>William Dang</v>
      </c>
      <c r="B270" s="25">
        <f t="shared" si="11"/>
        <v>10</v>
      </c>
      <c r="C270" s="51" t="s">
        <v>704</v>
      </c>
      <c r="D270" s="51" t="s">
        <v>705</v>
      </c>
      <c r="E270" s="62" t="s">
        <v>706</v>
      </c>
      <c r="F270" s="63"/>
      <c r="G270" s="51" t="s">
        <v>36</v>
      </c>
      <c r="H270" s="51" t="s">
        <v>49</v>
      </c>
      <c r="I270" s="51" t="s">
        <v>34</v>
      </c>
      <c r="J270" s="51" t="s">
        <v>42</v>
      </c>
      <c r="K270" s="51" t="s">
        <v>58</v>
      </c>
      <c r="L270" s="51" t="s">
        <v>47</v>
      </c>
      <c r="M270" s="51" t="s">
        <v>12</v>
      </c>
      <c r="N270" s="51" t="s">
        <v>37</v>
      </c>
      <c r="O270" s="51" t="s">
        <v>29</v>
      </c>
      <c r="P270" s="51" t="s">
        <v>14</v>
      </c>
    </row>
    <row r="271" spans="1:16" x14ac:dyDescent="0.3">
      <c r="A271" s="24" t="str">
        <f t="shared" si="10"/>
        <v>Yousef El dosh</v>
      </c>
      <c r="B271" s="25">
        <f t="shared" si="11"/>
        <v>10</v>
      </c>
      <c r="C271" s="51" t="s">
        <v>707</v>
      </c>
      <c r="D271" s="51" t="s">
        <v>708</v>
      </c>
      <c r="E271" s="59" t="s">
        <v>709</v>
      </c>
      <c r="F271" s="60">
        <v>43616</v>
      </c>
      <c r="G271" s="51" t="s">
        <v>29</v>
      </c>
      <c r="H271" s="51" t="s">
        <v>12</v>
      </c>
      <c r="I271" s="51" t="s">
        <v>25</v>
      </c>
      <c r="J271" s="51" t="s">
        <v>15</v>
      </c>
      <c r="K271" s="51" t="s">
        <v>46</v>
      </c>
      <c r="L271" s="51" t="s">
        <v>14</v>
      </c>
      <c r="M271" s="51" t="s">
        <v>20</v>
      </c>
      <c r="N271" s="51" t="s">
        <v>66</v>
      </c>
      <c r="O271" s="51" t="s">
        <v>35</v>
      </c>
      <c r="P271" s="51" t="s">
        <v>18</v>
      </c>
    </row>
    <row r="272" spans="1:16" x14ac:dyDescent="0.3">
      <c r="A272" s="24" t="str">
        <f t="shared" si="10"/>
        <v>Zoe  Smith</v>
      </c>
      <c r="B272" s="25">
        <f t="shared" si="11"/>
        <v>10</v>
      </c>
      <c r="C272" s="51" t="s">
        <v>710</v>
      </c>
      <c r="D272" s="51" t="s">
        <v>122</v>
      </c>
      <c r="E272" s="52" t="s">
        <v>711</v>
      </c>
      <c r="F272" s="53" t="s">
        <v>249</v>
      </c>
      <c r="G272" s="55" t="s">
        <v>29</v>
      </c>
      <c r="H272" s="55" t="s">
        <v>95</v>
      </c>
      <c r="I272" s="55" t="s">
        <v>47</v>
      </c>
      <c r="J272" s="55" t="s">
        <v>37</v>
      </c>
      <c r="K272" s="55" t="s">
        <v>36</v>
      </c>
      <c r="L272" s="55" t="s">
        <v>34</v>
      </c>
      <c r="M272" s="55" t="s">
        <v>18</v>
      </c>
      <c r="N272" s="55" t="s">
        <v>20</v>
      </c>
      <c r="O272" s="55" t="s">
        <v>28</v>
      </c>
      <c r="P272" s="55" t="s">
        <v>25</v>
      </c>
    </row>
    <row r="273" spans="1:16" x14ac:dyDescent="0.3">
      <c r="A273" s="24" t="str">
        <f t="shared" si="10"/>
        <v>Marcia Beauge</v>
      </c>
      <c r="B273" s="25">
        <f t="shared" si="11"/>
        <v>10</v>
      </c>
      <c r="C273" s="26" t="s">
        <v>712</v>
      </c>
      <c r="D273" s="26" t="s">
        <v>713</v>
      </c>
      <c r="E273" s="27" t="s">
        <v>714</v>
      </c>
      <c r="F273" s="43">
        <v>45993</v>
      </c>
      <c r="G273" s="29" t="s">
        <v>37</v>
      </c>
      <c r="H273" s="29" t="s">
        <v>47</v>
      </c>
      <c r="I273" s="29" t="s">
        <v>27</v>
      </c>
      <c r="J273" s="29" t="s">
        <v>17</v>
      </c>
      <c r="K273" s="29" t="s">
        <v>34</v>
      </c>
      <c r="L273" s="29" t="s">
        <v>20</v>
      </c>
      <c r="M273" s="29" t="s">
        <v>41</v>
      </c>
      <c r="N273" s="29" t="s">
        <v>18</v>
      </c>
      <c r="O273" s="29" t="s">
        <v>42</v>
      </c>
      <c r="P273" s="29" t="s">
        <v>21</v>
      </c>
    </row>
    <row r="274" spans="1:16" x14ac:dyDescent="0.3">
      <c r="A274" s="24" t="str">
        <f t="shared" si="10"/>
        <v>Samuel De Bleeckere</v>
      </c>
      <c r="B274" s="25">
        <f t="shared" si="11"/>
        <v>10</v>
      </c>
      <c r="C274" s="26" t="s">
        <v>715</v>
      </c>
      <c r="D274" s="26" t="s">
        <v>716</v>
      </c>
      <c r="E274" s="42" t="s">
        <v>717</v>
      </c>
      <c r="F274" s="43">
        <v>45993</v>
      </c>
      <c r="G274" s="29" t="s">
        <v>30</v>
      </c>
      <c r="H274" s="29" t="s">
        <v>18</v>
      </c>
      <c r="I274" s="29" t="s">
        <v>36</v>
      </c>
      <c r="J274" s="29" t="s">
        <v>14</v>
      </c>
      <c r="K274" s="29" t="s">
        <v>29</v>
      </c>
      <c r="L274" s="29" t="s">
        <v>12</v>
      </c>
      <c r="M274" s="29" t="s">
        <v>49</v>
      </c>
      <c r="N274" s="29" t="s">
        <v>27</v>
      </c>
      <c r="O274" s="29" t="s">
        <v>21</v>
      </c>
      <c r="P274" s="29" t="s">
        <v>50</v>
      </c>
    </row>
    <row r="275" spans="1:16" x14ac:dyDescent="0.3">
      <c r="A275" s="24" t="str">
        <f t="shared" si="10"/>
        <v>Leslie Ann Faburada</v>
      </c>
      <c r="B275" s="25">
        <f t="shared" si="11"/>
        <v>10</v>
      </c>
      <c r="C275" s="64" t="s">
        <v>718</v>
      </c>
      <c r="D275" s="64" t="s">
        <v>719</v>
      </c>
      <c r="E275" s="64" t="s">
        <v>720</v>
      </c>
      <c r="F275" s="64" t="s">
        <v>721</v>
      </c>
      <c r="G275" s="64" t="s">
        <v>37</v>
      </c>
      <c r="H275" s="64" t="s">
        <v>15</v>
      </c>
      <c r="I275" s="64" t="s">
        <v>46</v>
      </c>
      <c r="J275" s="64" t="s">
        <v>40</v>
      </c>
      <c r="K275" s="64" t="s">
        <v>18</v>
      </c>
      <c r="L275" s="64" t="s">
        <v>34</v>
      </c>
      <c r="M275" s="64" t="s">
        <v>66</v>
      </c>
      <c r="N275" s="64" t="s">
        <v>63</v>
      </c>
      <c r="O275" s="64" t="s">
        <v>47</v>
      </c>
      <c r="P275" s="64" t="s">
        <v>28</v>
      </c>
    </row>
    <row r="276" spans="1:16" x14ac:dyDescent="0.3">
      <c r="A276" s="24" t="str">
        <f t="shared" si="10"/>
        <v>Melissa Stafa</v>
      </c>
      <c r="B276" s="25">
        <f t="shared" si="11"/>
        <v>10</v>
      </c>
      <c r="C276" s="64" t="s">
        <v>490</v>
      </c>
      <c r="D276" s="64" t="s">
        <v>722</v>
      </c>
      <c r="E276" s="64" t="s">
        <v>723</v>
      </c>
      <c r="F276" s="64" t="s">
        <v>721</v>
      </c>
      <c r="G276" s="64" t="s">
        <v>54</v>
      </c>
      <c r="H276" s="64" t="s">
        <v>48</v>
      </c>
      <c r="I276" s="64" t="s">
        <v>47</v>
      </c>
      <c r="J276" s="64" t="s">
        <v>49</v>
      </c>
      <c r="K276" s="64" t="s">
        <v>37</v>
      </c>
      <c r="L276" s="64" t="s">
        <v>46</v>
      </c>
      <c r="M276" s="64" t="s">
        <v>36</v>
      </c>
      <c r="N276" s="64" t="s">
        <v>40</v>
      </c>
      <c r="O276" s="64" t="s">
        <v>18</v>
      </c>
      <c r="P276" s="64" t="s">
        <v>20</v>
      </c>
    </row>
    <row r="277" spans="1:16" x14ac:dyDescent="0.3">
      <c r="A277" s="24" t="str">
        <f t="shared" si="10"/>
        <v>Gabrielle de Knock</v>
      </c>
      <c r="B277" s="25">
        <f t="shared" si="11"/>
        <v>10</v>
      </c>
      <c r="C277" s="56" t="s">
        <v>724</v>
      </c>
      <c r="D277" s="56" t="s">
        <v>725</v>
      </c>
      <c r="E277" s="57" t="s">
        <v>726</v>
      </c>
      <c r="F277" s="58">
        <v>46083</v>
      </c>
      <c r="G277" s="57" t="s">
        <v>29</v>
      </c>
      <c r="H277" s="57" t="s">
        <v>42</v>
      </c>
      <c r="I277" s="57" t="s">
        <v>28</v>
      </c>
      <c r="J277" s="57" t="s">
        <v>49</v>
      </c>
      <c r="K277" s="57" t="s">
        <v>34</v>
      </c>
      <c r="L277" s="57" t="s">
        <v>48</v>
      </c>
      <c r="M277" s="57" t="s">
        <v>35</v>
      </c>
      <c r="N277" s="57" t="s">
        <v>36</v>
      </c>
      <c r="O277" s="57" t="s">
        <v>66</v>
      </c>
      <c r="P277" s="57" t="s">
        <v>58</v>
      </c>
    </row>
    <row r="278" spans="1:16" x14ac:dyDescent="0.3">
      <c r="A278" s="24" t="str">
        <f t="shared" si="10"/>
        <v>Sofia Ettridge</v>
      </c>
      <c r="B278" s="25">
        <f t="shared" si="11"/>
        <v>10</v>
      </c>
      <c r="C278" s="57" t="s">
        <v>727</v>
      </c>
      <c r="D278" s="57" t="s">
        <v>728</v>
      </c>
      <c r="E278" s="57" t="s">
        <v>729</v>
      </c>
      <c r="F278" s="58">
        <v>46084</v>
      </c>
      <c r="G278" s="57" t="s">
        <v>37</v>
      </c>
      <c r="H278" s="57" t="s">
        <v>66</v>
      </c>
      <c r="I278" s="57" t="s">
        <v>14</v>
      </c>
      <c r="J278" s="57" t="s">
        <v>29</v>
      </c>
      <c r="K278" s="57" t="s">
        <v>12</v>
      </c>
      <c r="L278" s="57" t="s">
        <v>18</v>
      </c>
      <c r="M278" s="57" t="s">
        <v>54</v>
      </c>
      <c r="N278" s="57" t="s">
        <v>47</v>
      </c>
      <c r="O278" s="57" t="s">
        <v>13</v>
      </c>
      <c r="P278" s="57" t="s">
        <v>27</v>
      </c>
    </row>
    <row r="279" spans="1:16" x14ac:dyDescent="0.3">
      <c r="A279" s="24" t="str">
        <f t="shared" si="10"/>
        <v>Peter Everitt</v>
      </c>
      <c r="B279" s="25">
        <f t="shared" si="11"/>
        <v>10</v>
      </c>
      <c r="C279" s="56" t="s">
        <v>544</v>
      </c>
      <c r="D279" s="56" t="s">
        <v>730</v>
      </c>
      <c r="E279" s="57" t="s">
        <v>731</v>
      </c>
      <c r="F279" s="58">
        <v>46085</v>
      </c>
      <c r="G279" s="57" t="s">
        <v>25</v>
      </c>
      <c r="H279" s="57" t="s">
        <v>18</v>
      </c>
      <c r="I279" s="57" t="s">
        <v>13</v>
      </c>
      <c r="J279" s="57" t="s">
        <v>29</v>
      </c>
      <c r="K279" s="57" t="s">
        <v>27</v>
      </c>
      <c r="L279" s="57" t="s">
        <v>12</v>
      </c>
      <c r="M279" s="57" t="s">
        <v>30</v>
      </c>
      <c r="N279" s="57" t="s">
        <v>54</v>
      </c>
      <c r="O279" s="57" t="s">
        <v>49</v>
      </c>
      <c r="P279" s="57" t="s">
        <v>36</v>
      </c>
    </row>
    <row r="280" spans="1:16" x14ac:dyDescent="0.3">
      <c r="A280" s="24" t="str">
        <f t="shared" si="10"/>
        <v>Vai Maunga</v>
      </c>
      <c r="B280" s="25">
        <f t="shared" si="11"/>
        <v>10</v>
      </c>
      <c r="C280" s="56" t="s">
        <v>732</v>
      </c>
      <c r="D280" s="56" t="s">
        <v>733</v>
      </c>
      <c r="E280" s="56" t="s">
        <v>734</v>
      </c>
      <c r="F280" s="58">
        <v>46084</v>
      </c>
      <c r="G280" s="57" t="s">
        <v>18</v>
      </c>
      <c r="H280" s="57" t="s">
        <v>37</v>
      </c>
      <c r="I280" s="57" t="s">
        <v>95</v>
      </c>
      <c r="J280" s="57" t="s">
        <v>46</v>
      </c>
      <c r="K280" s="57" t="s">
        <v>34</v>
      </c>
      <c r="L280" s="57" t="s">
        <v>63</v>
      </c>
      <c r="M280" s="57" t="s">
        <v>29</v>
      </c>
      <c r="N280" s="57" t="s">
        <v>15</v>
      </c>
      <c r="O280" s="57" t="s">
        <v>41</v>
      </c>
      <c r="P280" s="57" t="s">
        <v>19</v>
      </c>
    </row>
    <row r="281" spans="1:16" x14ac:dyDescent="0.3">
      <c r="A281" s="24" t="str">
        <f t="shared" si="10"/>
        <v>Tulasa Pokharel</v>
      </c>
      <c r="B281" s="25">
        <f t="shared" si="11"/>
        <v>10</v>
      </c>
      <c r="C281" s="56" t="s">
        <v>735</v>
      </c>
      <c r="D281" s="56" t="s">
        <v>736</v>
      </c>
      <c r="E281" s="56" t="s">
        <v>737</v>
      </c>
      <c r="F281" s="65">
        <v>46084</v>
      </c>
      <c r="G281" s="57" t="s">
        <v>14</v>
      </c>
      <c r="H281" s="57" t="s">
        <v>28</v>
      </c>
      <c r="I281" s="57" t="s">
        <v>18</v>
      </c>
      <c r="J281" s="57" t="s">
        <v>15</v>
      </c>
      <c r="K281" s="57" t="s">
        <v>49</v>
      </c>
      <c r="L281" s="57" t="s">
        <v>41</v>
      </c>
      <c r="M281" s="57" t="s">
        <v>37</v>
      </c>
      <c r="N281" s="57" t="s">
        <v>25</v>
      </c>
      <c r="O281" s="57" t="s">
        <v>40</v>
      </c>
      <c r="P281" s="57" t="s">
        <v>47</v>
      </c>
    </row>
    <row r="282" spans="1:16" x14ac:dyDescent="0.3">
      <c r="A282" s="24" t="str">
        <f t="shared" si="10"/>
        <v>Mike Zhuang</v>
      </c>
      <c r="B282" s="25">
        <f t="shared" si="11"/>
        <v>10</v>
      </c>
      <c r="C282" s="56" t="s">
        <v>504</v>
      </c>
      <c r="D282" s="56" t="s">
        <v>738</v>
      </c>
      <c r="E282" s="56" t="s">
        <v>739</v>
      </c>
      <c r="F282" s="58">
        <v>46085</v>
      </c>
      <c r="G282" s="57" t="s">
        <v>18</v>
      </c>
      <c r="H282" s="57" t="s">
        <v>37</v>
      </c>
      <c r="I282" s="57" t="s">
        <v>25</v>
      </c>
      <c r="J282" s="57" t="s">
        <v>15</v>
      </c>
      <c r="K282" s="57" t="s">
        <v>63</v>
      </c>
      <c r="L282" s="57" t="s">
        <v>12</v>
      </c>
      <c r="M282" s="57" t="s">
        <v>48</v>
      </c>
      <c r="N282" s="57" t="s">
        <v>49</v>
      </c>
      <c r="O282" s="57" t="s">
        <v>34</v>
      </c>
      <c r="P282" s="57" t="s">
        <v>54</v>
      </c>
    </row>
    <row r="283" spans="1:16" x14ac:dyDescent="0.3">
      <c r="A283" s="24" t="str">
        <f t="shared" si="10"/>
        <v>David Mead</v>
      </c>
      <c r="B283" s="25">
        <f t="shared" si="11"/>
        <v>10</v>
      </c>
      <c r="C283" s="56" t="s">
        <v>194</v>
      </c>
      <c r="D283" s="56" t="s">
        <v>740</v>
      </c>
      <c r="E283" s="65" t="s">
        <v>741</v>
      </c>
      <c r="F283" s="58">
        <v>46097</v>
      </c>
      <c r="G283" s="57" t="s">
        <v>14</v>
      </c>
      <c r="H283" s="57" t="s">
        <v>12</v>
      </c>
      <c r="I283" s="57" t="s">
        <v>25</v>
      </c>
      <c r="J283" s="57" t="s">
        <v>21</v>
      </c>
      <c r="K283" s="57" t="s">
        <v>46</v>
      </c>
      <c r="L283" s="57" t="s">
        <v>40</v>
      </c>
      <c r="M283" s="57" t="s">
        <v>18</v>
      </c>
      <c r="N283" s="57" t="s">
        <v>15</v>
      </c>
      <c r="O283" s="57" t="s">
        <v>49</v>
      </c>
      <c r="P283" s="57" t="s">
        <v>95</v>
      </c>
    </row>
    <row r="284" spans="1:16" x14ac:dyDescent="0.3">
      <c r="A284" s="24" t="str">
        <f t="shared" si="10"/>
        <v>Joanne Mead</v>
      </c>
      <c r="B284" s="25">
        <f t="shared" si="11"/>
        <v>10</v>
      </c>
      <c r="C284" s="56" t="s">
        <v>742</v>
      </c>
      <c r="D284" s="56" t="s">
        <v>740</v>
      </c>
      <c r="E284" s="57" t="s">
        <v>743</v>
      </c>
      <c r="F284" s="58">
        <v>46097</v>
      </c>
      <c r="G284" s="57" t="s">
        <v>54</v>
      </c>
      <c r="H284" s="57" t="s">
        <v>18</v>
      </c>
      <c r="I284" s="57" t="s">
        <v>37</v>
      </c>
      <c r="J284" s="57" t="s">
        <v>35</v>
      </c>
      <c r="K284" s="57" t="s">
        <v>58</v>
      </c>
      <c r="L284" s="57" t="s">
        <v>16</v>
      </c>
      <c r="M284" s="57" t="s">
        <v>34</v>
      </c>
      <c r="N284" s="57" t="s">
        <v>63</v>
      </c>
      <c r="O284" s="57" t="s">
        <v>20</v>
      </c>
      <c r="P284" s="57" t="s">
        <v>47</v>
      </c>
    </row>
    <row r="285" spans="1:16" x14ac:dyDescent="0.3">
      <c r="A285" s="24" t="str">
        <f t="shared" si="10"/>
        <v xml:space="preserve"> </v>
      </c>
      <c r="B285" s="25">
        <f t="shared" si="11"/>
        <v>0</v>
      </c>
      <c r="C285" s="26"/>
      <c r="D285" s="26"/>
      <c r="E285" s="27"/>
      <c r="F285" s="31"/>
      <c r="G285" s="29"/>
      <c r="H285" s="29"/>
      <c r="I285" s="29"/>
      <c r="J285" s="29"/>
      <c r="K285" s="29"/>
      <c r="L285" s="29"/>
      <c r="M285" s="29"/>
      <c r="N285" s="29"/>
      <c r="O285" s="29"/>
      <c r="P285" s="29"/>
    </row>
  </sheetData>
  <mergeCells count="2">
    <mergeCell ref="M1:N1"/>
    <mergeCell ref="E3:E8"/>
  </mergeCells>
  <conditionalFormatting sqref="A11:A285">
    <cfRule type="duplicateValues" dxfId="3" priority="4"/>
  </conditionalFormatting>
  <conditionalFormatting sqref="B11:B285">
    <cfRule type="cellIs" dxfId="2" priority="1" operator="lessThanOrEqual">
      <formula>4</formula>
    </cfRule>
    <cfRule type="cellIs" dxfId="1" priority="2" operator="equal">
      <formula>"Duplicate"</formula>
    </cfRule>
    <cfRule type="cellIs" dxfId="0" priority="3" operator="between">
      <formula>20</formula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 Baker - Coach4U</dc:creator>
  <cp:lastModifiedBy>Cath Baker - Coach4U</cp:lastModifiedBy>
  <dcterms:created xsi:type="dcterms:W3CDTF">2026-04-03T09:55:08Z</dcterms:created>
  <dcterms:modified xsi:type="dcterms:W3CDTF">2026-04-03T09:55:50Z</dcterms:modified>
</cp:coreProperties>
</file>